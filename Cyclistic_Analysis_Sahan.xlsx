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Summary" sheetId="1" state="visible" r:id="rId3"/>
    <sheet name="📅 Day of Week" sheetId="2" state="visible" r:id="rId4"/>
    <sheet name="📆 Monthly Trends" sheetId="3" state="visible" r:id="rId5"/>
    <sheet name="⏱ Duration &amp; Hourly" sheetId="4" state="visible" r:id="rId6"/>
    <sheet name="🚲 Bike &amp; Stations" sheetId="5" state="visible" r:id="rId7"/>
    <sheet name="🧹 Cleaning Log" sheetId="6" state="visible" r:id="rId8"/>
    <sheet name="📖 Data Diction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<sst xmlns="http://schemas.openxmlformats.org/spreadsheetml/2006/main" count="350" uniqueCount="275">
  <si>
    <t xml:space="preserve">CYCLISTIC BIKE-SHARE ANALYSIS — EXECUTIVE SUMMARY</t>
  </si>
  <si>
    <t xml:space="preserve">How do Annual Members &amp; Casual Riders use Cyclistic bikes differently? | Jan 2025 – May 2026 | 5,842,831 clean rides | Author: Sahan K.</t>
  </si>
  <si>
    <t xml:space="preserve">KEY METRICS AT A GLANCE</t>
  </si>
  <si>
    <t xml:space="preserve">Total Rides Analyzed</t>
  </si>
  <si>
    <t xml:space="preserve">Annual Member Rides</t>
  </si>
  <si>
    <t xml:space="preserve">Casual Rider Rides</t>
  </si>
  <si>
    <t xml:space="preserve">Avg Casual Ride Length</t>
  </si>
  <si>
    <t xml:space="preserve">Casual Winter Drop</t>
  </si>
  <si>
    <t xml:space="preserve">5,842,831</t>
  </si>
  <si>
    <t xml:space="preserve">3,747,384 (64.1%)</t>
  </si>
  <si>
    <t xml:space="preserve">2,095,447 (35.9%)</t>
  </si>
  <si>
    <t xml:space="preserve">18.9 min</t>
  </si>
  <si>
    <t xml:space="preserve">−92.7%</t>
  </si>
  <si>
    <t xml:space="preserve">Source: Motivate / Divvy, cleaned</t>
  </si>
  <si>
    <t xml:space="preserve">Commuter-pattern users</t>
  </si>
  <si>
    <t xml:space="preserve">Leisure-pattern users</t>
  </si>
  <si>
    <t xml:space="preserve">vs 12.1 min for members (+56%)</t>
  </si>
  <si>
    <t xml:space="preserve">Aug→Jan; members: −75%</t>
  </si>
  <si>
    <t xml:space="preserve">5 KEY FINDINGS</t>
  </si>
  <si>
    <t xml:space="preserve">F1</t>
  </si>
  <si>
    <t xml:space="preserve">Duration Gap</t>
  </si>
  <si>
    <t xml:space="preserve">Casuals ride 56% longer on average (18.9 min) vs members (12.1 min). Median also diverges (11.2 vs 8.6 min). Points to leisure vs. commute use.</t>
  </si>
  <si>
    <t xml:space="preserve">F2</t>
  </si>
  <si>
    <t xml:space="preserve">Weekday vs. Weekend</t>
  </si>
  <si>
    <t xml:space="preserve">Members peak Tue–Thu (commuting). Casuals peak Saturday (431,737 rides). On Saturdays, casuals nearly match member volume.</t>
  </si>
  <si>
    <t xml:space="preserve">F3</t>
  </si>
  <si>
    <t xml:space="preserve">Rush-Hour Signature</t>
  </si>
  <si>
    <t xml:space="preserve">Members spike at 8am (273k rides) and 5pm (405k). Casuals build gradually — no morning rush spike. Classic commuter vs. leisure pattern.</t>
  </si>
  <si>
    <t xml:space="preserve">F4</t>
  </si>
  <si>
    <t xml:space="preserve">Seasonal Volatility</t>
  </si>
  <si>
    <t xml:space="preserve">Casuals drop 92.7% from Aug→Jan; members drop 75%. Casuals are highly weather-sensitive — spring is the conversion window.</t>
  </si>
  <si>
    <t xml:space="preserve">F5</t>
  </si>
  <si>
    <t xml:space="preserve">Geographic Divide</t>
  </si>
  <si>
    <t xml:space="preserve">Member top stations: Canal/Clinton St transit hubs. Casual top stations: Navy Pier, Millennium Park, Lake Shore Dr tourist corridor. Zero overlap.</t>
  </si>
  <si>
    <t xml:space="preserve">TOP 3 RECOMMENDATIONS</t>
  </si>
  <si>
    <t xml:space="preserve">REC 1</t>
  </si>
  <si>
    <t xml:space="preserve">Weekend Warrior Membership Tier</t>
  </si>
  <si>
    <t xml:space="preserve">Create a discounted weekend-only membership. Casuals dominate Saturdays (48% of all Saturday rides). Price so 8+ weekend rides/month = cheaper than single passes. Promote at Navy Pier, Millennium Park stations.</t>
  </si>
  <si>
    <t xml:space="preserve">REC 2</t>
  </si>
  <si>
    <t xml:space="preserve">Spring Conversion Campaign (Apr–Jun)</t>
  </si>
  <si>
    <t xml:space="preserve">Launch limited-time membership offer when casual riders return in spring. Target via in-app notification after rider's 3rd ride of the season. Casuals rebound 900%+ from Jan to peak summer.</t>
  </si>
  <si>
    <t xml:space="preserve">REC 3</t>
  </si>
  <si>
    <t xml:space="preserve">In-App 'Your Cost Breakdown' Feature</t>
  </si>
  <si>
    <t xml:space="preserve">Show casuals exactly: 'You spent $X on single passes this season. A membership would have cost $Y — saving you $Z.' Trigger after 5th casual ride. Casuals' longer rides make each trip costlier on single passes.</t>
  </si>
  <si>
    <t xml:space="preserve">RIDE VOLUME &amp; DURATION BY DAY OF WEEK</t>
  </si>
  <si>
    <t xml:space="preserve">Source: Motivate/Divvy 12-month trip data. Derived columns: ride_length_min, day_of_week. n = 5,842,831 rides.</t>
  </si>
  <si>
    <t xml:space="preserve">Day of Week</t>
  </si>
  <si>
    <t xml:space="preserve">Member Rides</t>
  </si>
  <si>
    <t xml:space="preserve">Casual Rides</t>
  </si>
  <si>
    <t xml:space="preserve">Total Rides</t>
  </si>
  <si>
    <t xml:space="preserve">Member %</t>
  </si>
  <si>
    <t xml:space="preserve">Casual %</t>
  </si>
  <si>
    <t xml:space="preserve">Avg Member Duration (min)</t>
  </si>
  <si>
    <t xml:space="preserve">Avg Casual Duration (min)</t>
  </si>
  <si>
    <t xml:space="preserve">Duration Gap (%)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</si>
  <si>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</si>
  <si>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</si>
  <si>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</si>
  <si>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</si>
  <si>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</si>
  <si>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</si>
  <si>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</si>
  <si>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TOTAL / AVG</t>
  </si>
  <si>
    <t xml:space="preserve">MONTHLY RIDE VOLUME — SEASONAL TRENDS</t>
  </si>
  <si>
    <t xml:space="preserve">Note: 2025-05 contains only a partial month (157 rows), excluded from trend analysis. Full months: Jun 2025 – May 2026.</t>
  </si>
  <si>
    <t xml:space="preserve">Month</t>
  </si>
  <si>
    <t xml:space="preserve">MoM Change (Casual)</t>
  </si>
  <si>
    <t xml:space="preserve">Jun 2025</t>
  </si>
  <si>
    <t xml:space="preserve">—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</si>
  <si>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</si>
  <si>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</si>
  <si>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</si>
  <si>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</si>
  <si>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</si>
  <si>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</si>
  <si>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</si>
  <si>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</si>
  <si>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</si>
  <si>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</si>
  <si>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</si>
  <si>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RIDE DURATION STATISTICS &amp; HOURLY DEMAND PATTERNS</t>
  </si>
  <si>
    <t xml:space="preserve">RIDE DURATION SUMMARY</t>
  </si>
  <si>
    <t xml:space="preserve">Metric</t>
  </si>
  <si>
    <t xml:space="preserve">Annual Members (min)</t>
  </si>
  <si>
    <t xml:space="preserve">Casual Riders (min)</t>
  </si>
  <si>
    <t xml:space="preserve">Gap (Casual − Member)</t>
  </si>
  <si>
    <t xml:space="preserve">Gap (%)</t>
  </si>
  <si>
    <t xml:space="preserve">Mean Ride Duration</t>
  </si>
  <si>
    <t xml:space="preserve">Median Ride Duration</t>
  </si>
  <si>
    <t xml:space="preserve">Saturday Peak (Mean)</t>
  </si>
  <si>
    <t xml:space="preserve">Sunday Peak (Mean)</t>
  </si>
  <si>
    <t xml:space="preserve">Monday (Mean)</t>
  </si>
  <si>
    <t xml:space="preserve">HOURLY RIDE VOLUME (All Days Combined)</t>
  </si>
  <si>
    <t xml:space="preserve">Hour</t>
  </si>
  <si>
    <t xml:space="preserve">Total</t>
  </si>
  <si>
    <t xml:space="preserve">Peak Flag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</si>
  <si>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</si>
  <si>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</si>
  <si>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</si>
  <si>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</si>
  <si>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</si>
  <si>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</si>
  <si>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</si>
  <si>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</si>
  <si>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</si>
  <si>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⬆ Member AM Rush</t>
  </si>
  <si>
    <t xml:space="preserve">09:00</t>
  </si>
  <si>
    <t xml:space="preserve">10:00</t>
  </si>
  <si>
    <t xml:space="preserve">11:00</t>
  </si>
  <si>
    <t xml:space="preserve">12:00</t>
  </si>
  <si>
    <t xml:space="preserve">↑ Casual Build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</si>
  <si>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</si>
  <si>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</si>
  <si>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</si>
  <si>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</si>
  <si>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</si>
  <si>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⬆ BOTH Peak Hour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</si>
  <si>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</si>
  <si>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</si>
  <si>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</si>
  <si>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</si>
  <si>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</si>
  <si>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</si>
  <si>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BIKE TYPE PREFERENCES &amp; TOP START STATIONS</t>
  </si>
  <si>
    <t xml:space="preserve">BIKE TYPE BREAKDOWN</t>
  </si>
  <si>
    <t xml:space="preserve">Bike Type</t>
  </si>
  <si>
    <t xml:space="preserve">Classic Bike</t>
  </si>
  <si>
    <t xml:space="preserve">Electric Bike</t>
  </si>
  <si>
    <t xml:space="preserve">TOTAL</t>
  </si>
  <si>
    <t xml:space="preserve">TOP 10 START STATIONS — CASUAL RIDERS (Leisure Corridor)</t>
  </si>
  <si>
    <t xml:space="preserve">TOP 10 START STATIONS — ANNUAL MEMBERS (Transit Hubs)</t>
  </si>
  <si>
    <t xml:space="preserve">Rank</t>
  </si>
  <si>
    <t xml:space="preserve">Station Name</t>
  </si>
  <si>
    <t xml:space="preserve">Rides</t>
  </si>
  <si>
    <t xml:space="preserve">% of Casual Total</t>
  </si>
  <si>
    <t xml:space="preserve">% of Member Total</t>
  </si>
  <si>
    <t xml:space="preserve">Navy Pier</t>
  </si>
  <si>
    <t xml:space="preserve">Canal St &amp; Madison St</t>
  </si>
  <si>
    <t xml:space="preserve">DuSable Lake Shore Dr &amp; Monroe St</t>
  </si>
  <si>
    <t xml:space="preserve">Clinton St &amp; Washington Blvd</t>
  </si>
  <si>
    <t xml:space="preserve">Michigan Ave &amp; Oak St</t>
  </si>
  <si>
    <t xml:space="preserve">State St &amp; Chicago Ave</t>
  </si>
  <si>
    <t xml:space="preserve">DuSable Lake Shore Dr &amp; North Blvd</t>
  </si>
  <si>
    <t xml:space="preserve">Clinton St &amp; Madison St</t>
  </si>
  <si>
    <t xml:space="preserve">Millennium Park</t>
  </si>
  <si>
    <t xml:space="preserve">Kingsbury St &amp; Kinzie St</t>
  </si>
  <si>
    <t xml:space="preserve">Shedd Aquarium</t>
  </si>
  <si>
    <t xml:space="preserve">Wells St &amp; Elm St</t>
  </si>
  <si>
    <t xml:space="preserve">Theater on the Lake</t>
  </si>
  <si>
    <t xml:space="preserve">Wells St &amp; Concord Ln</t>
  </si>
  <si>
    <t xml:space="preserve">Dusable Harbor</t>
  </si>
  <si>
    <t xml:space="preserve">Clark St &amp; Elm St</t>
  </si>
  <si>
    <t xml:space="preserve">Streeter Dr &amp; Grand Ave</t>
  </si>
  <si>
    <t xml:space="preserve">Clinton St &amp; Jackson Blvd</t>
  </si>
  <si>
    <t xml:space="preserve">Michigan Ave &amp; 8th St</t>
  </si>
  <si>
    <t xml:space="preserve">Wells St &amp; Huron St</t>
  </si>
  <si>
    <t xml:space="preserve">DATA CLEANING &amp; TRANSFORMATION LOG</t>
  </si>
  <si>
    <t xml:space="preserve">Step</t>
  </si>
  <si>
    <t xml:space="preserve">Action</t>
  </si>
  <si>
    <t xml:space="preserve">Before Count</t>
  </si>
  <si>
    <t xml:space="preserve">After Count</t>
  </si>
  <si>
    <t xml:space="preserve">Rows Affected</t>
  </si>
  <si>
    <t xml:space="preserve">Severity</t>
  </si>
  <si>
    <t xml:space="preserve">Rationale</t>
  </si>
  <si>
    <t xml:space="preserve">Concatenate 12 monthly CSV files</t>
  </si>
  <si>
    <t xml:space="preserve">N/A</t>
  </si>
  <si>
    <t xml:space="preserve">5,848,703</t>
  </si>
  <si>
    <t xml:space="preserve">🔴 Critical</t>
  </si>
  <si>
    <t xml:space="preserve">Build unified 12-month dataset for full-year analysis</t>
  </si>
  <si>
    <t xml:space="preserve">Parse started_at &amp; ended_at as datetime</t>
  </si>
  <si>
    <t xml:space="preserve">Required for all time-based feature derivation</t>
  </si>
  <si>
    <t xml:space="preserve">Remove rides with negative duration (ended &lt; started)</t>
  </si>
  <si>
    <t xml:space="preserve">~5,847,500</t>
  </si>
  <si>
    <t xml:space="preserve">~1,200</t>
  </si>
  <si>
    <t xml:space="preserve">System errors / data entry mistakes — not real trips</t>
  </si>
  <si>
    <t xml:space="preserve">Remove rides &gt; 1,440 min (24 hours)</t>
  </si>
  <si>
    <t xml:space="preserve">~4,672</t>
  </si>
  <si>
    <t xml:space="preserve">Undocked bikes / abandoned — not representative rides</t>
  </si>
  <si>
    <t xml:space="preserve">Derive ride_length_min = (ended_at − started_at)/60</t>
  </si>
  <si>
    <t xml:space="preserve">Core analysis metric — duration in minutes</t>
  </si>
  <si>
    <t xml:space="preserve">Derive day_of_week from started_at</t>
  </si>
  <si>
    <t xml:space="preserve">Day-level pattern analysis (Mon–Sun)</t>
  </si>
  <si>
    <t xml:space="preserve">Derive month period from started_at</t>
  </si>
  <si>
    <t xml:space="preserve">Monthly seasonal trend analysis</t>
  </si>
  <si>
    <t xml:space="preserve">Derive hour from started_at</t>
  </si>
  <si>
    <t xml:space="preserve">🟡 Important</t>
  </si>
  <si>
    <t xml:space="preserve">Time-of-day demand curve analysis</t>
  </si>
  <si>
    <t xml:space="preserve">Flag null station names (NOT dropped)</t>
  </si>
  <si>
    <t xml:space="preserve">1,249,667 nulls</t>
  </si>
  <si>
    <t xml:space="preserve">Flagged only</t>
  </si>
  <si>
    <t xml:space="preserve">1,249,667</t>
  </si>
  <si>
    <t xml:space="preserve">Null = electric bike not docked. Rides are valid; location unknown</t>
  </si>
  <si>
    <t xml:space="preserve">Verify no duplicate ride_ids</t>
  </si>
  <si>
    <t xml:space="preserve">ride_id is unique — confirmed zero duplicates</t>
  </si>
  <si>
    <t xml:space="preserve">Confirm member_casual column — only 2 values</t>
  </si>
  <si>
    <t xml:space="preserve">No unexpected categories found</t>
  </si>
  <si>
    <t xml:space="preserve">DATA DICTIONARY — CYCLISTIC TRIP DATA</t>
  </si>
  <si>
    <t xml:space="preserve">Column Name</t>
  </si>
  <si>
    <t xml:space="preserve">Data Type</t>
  </si>
  <si>
    <t xml:space="preserve">Source</t>
  </si>
  <si>
    <t xml:space="preserve">Description</t>
  </si>
  <si>
    <t xml:space="preserve">Example Value</t>
  </si>
  <si>
    <t xml:space="preserve">Notes</t>
  </si>
  <si>
    <t xml:space="preserve">ride_id</t>
  </si>
  <si>
    <t xml:space="preserve">VARCHAR</t>
  </si>
  <si>
    <t xml:space="preserve">Raw</t>
  </si>
  <si>
    <t xml:space="preserve">Unique identifier per trip</t>
  </si>
  <si>
    <t xml:space="preserve">FD0EB1D32AF0D47E</t>
  </si>
  <si>
    <t xml:space="preserve">Primary key. Confirmed unique across all files.</t>
  </si>
  <si>
    <t xml:space="preserve">rideable_type</t>
  </si>
  <si>
    <t xml:space="preserve">Bike category used</t>
  </si>
  <si>
    <t xml:space="preserve">electric_bike</t>
  </si>
  <si>
    <t xml:space="preserve">Values: classic_bike, electric_bike</t>
  </si>
  <si>
    <t xml:space="preserve">started_at</t>
  </si>
  <si>
    <t xml:space="preserve">TIMESTAMP</t>
  </si>
  <si>
    <t xml:space="preserve">Trip start datetime</t>
  </si>
  <si>
    <t xml:space="preserve">2026-01-31 09:13:09</t>
  </si>
  <si>
    <t xml:space="preserve">Format: YYYY-MM-DD HH:MM:SS.fff</t>
  </si>
  <si>
    <t xml:space="preserve">ended_at</t>
  </si>
  <si>
    <t xml:space="preserve">Trip end datetime</t>
  </si>
  <si>
    <t xml:space="preserve">2026-01-31 09:28:10</t>
  </si>
  <si>
    <t xml:space="preserve">start_station_name</t>
  </si>
  <si>
    <t xml:space="preserve">Name of docking station where trip started</t>
  </si>
  <si>
    <t xml:space="preserve">Central St &amp; Girard Ave</t>
  </si>
  <si>
    <t xml:space="preserve">NULL for ~1.25M electric bike rides (dockless start)</t>
  </si>
  <si>
    <t xml:space="preserve">start_station_id</t>
  </si>
  <si>
    <t xml:space="preserve">ID of start station</t>
  </si>
  <si>
    <t xml:space="preserve">CHI02042</t>
  </si>
  <si>
    <t xml:space="preserve">NULL matches start_station_name nulls</t>
  </si>
  <si>
    <t xml:space="preserve">end_station_name</t>
  </si>
  <si>
    <t xml:space="preserve">Name of docking station where trip ended</t>
  </si>
  <si>
    <t xml:space="preserve">Dodge Ave &amp; Church St</t>
  </si>
  <si>
    <t xml:space="preserve">NULL for ~1.31M rides</t>
  </si>
  <si>
    <t xml:space="preserve">end_station_id</t>
  </si>
  <si>
    <t xml:space="preserve">ID of end station</t>
  </si>
  <si>
    <t xml:space="preserve">CHI00741</t>
  </si>
  <si>
    <t xml:space="preserve">NULL matches end_station_name nulls</t>
  </si>
  <si>
    <t xml:space="preserve">start_lat</t>
  </si>
  <si>
    <t xml:space="preserve">FLOAT</t>
  </si>
  <si>
    <t xml:space="preserve">GPS latitude of trip start</t>
  </si>
  <si>
    <t xml:space="preserve">42.064313</t>
  </si>
  <si>
    <t xml:space="preserve">Never null</t>
  </si>
  <si>
    <t xml:space="preserve">start_lng</t>
  </si>
  <si>
    <t xml:space="preserve">GPS longitude of trip start</t>
  </si>
  <si>
    <t xml:space="preserve">-87.686152</t>
  </si>
  <si>
    <t xml:space="preserve">end_lat</t>
  </si>
  <si>
    <t xml:space="preserve">GPS latitude of trip end</t>
  </si>
  <si>
    <t xml:space="preserve">42.048308</t>
  </si>
  <si>
    <t xml:space="preserve">5,896 nulls — trip may have been cancelled</t>
  </si>
  <si>
    <t xml:space="preserve">end_lng</t>
  </si>
  <si>
    <t xml:space="preserve">GPS longitude of trip end</t>
  </si>
  <si>
    <t xml:space="preserve">-87.698224</t>
  </si>
  <si>
    <t xml:space="preserve">5,896 nulls — same as end_lat</t>
  </si>
  <si>
    <t xml:space="preserve">member_casual</t>
  </si>
  <si>
    <t xml:space="preserve">Rider subscription type</t>
  </si>
  <si>
    <t xml:space="preserve">member</t>
  </si>
  <si>
    <t xml:space="preserve">Values: member, casual</t>
  </si>
  <si>
    <t xml:space="preserve">ride_length_min</t>
  </si>
  <si>
    <t xml:space="preserve">Derived</t>
  </si>
  <si>
    <t xml:space="preserve">Duration in minutes = (ended_at − started_at)/60</t>
  </si>
  <si>
    <t xml:space="preserve">15.02</t>
  </si>
  <si>
    <t xml:space="preserve">Cleaned: 0 &lt; ride_length_min &lt; 1440</t>
  </si>
  <si>
    <t xml:space="preserve">day_of_week</t>
  </si>
  <si>
    <t xml:space="preserve">Day name of trip start</t>
  </si>
  <si>
    <t xml:space="preserve">Derived from started_at.dt.day_name()</t>
  </si>
  <si>
    <t xml:space="preserve">month</t>
  </si>
  <si>
    <t xml:space="preserve">PERIOD</t>
  </si>
  <si>
    <t xml:space="preserve">Year-month period of trip start</t>
  </si>
  <si>
    <t xml:space="preserve">2026-01</t>
  </si>
  <si>
    <t xml:space="preserve">Derived from started_at.dt.to_period('M')</t>
  </si>
  <si>
    <t xml:space="preserve">hour</t>
  </si>
  <si>
    <t xml:space="preserve">INT</t>
  </si>
  <si>
    <t xml:space="preserve">Hour of day (0-23) of trip start</t>
  </si>
  <si>
    <t xml:space="preserve">9</t>
  </si>
  <si>
    <t xml:space="preserve">Derived from started_at.dt.hour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</si>
</sst>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"/>
    <numFmt numFmtId="168" formatCode="0"/>
    <numFmt numFmtId="169" formatCode="0.0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C757D"/>
      <name val="Arial"/>
      <family val="0"/>
      <charset val="1"/>
    </font>
    <font>
      <b val="true"/>
      <sz val="11"/>
      <color rgb="FF095E5D"/>
      <name val="Arial"/>
      <family val="0"/>
      <charset val="1"/>
    </font>
    <font>
      <sz val="9"/>
      <color rgb="FF6C757D"/>
      <name val="Arial"/>
      <family val="0"/>
      <charset val="1"/>
    </font>
    <font>
      <b val="true"/>
      <sz val="14"/>
      <color rgb="FF095E5D"/>
      <name val="Arial"/>
      <family val="0"/>
      <charset val="1"/>
    </font>
    <font>
      <b val="true"/>
      <sz val="14"/>
      <color rgb="FFB85042"/>
      <name val="Arial"/>
      <family val="0"/>
      <charset val="1"/>
    </font>
    <font>
      <i val="true"/>
      <sz val="8"/>
      <color rgb="FF6C757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95E5D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C757D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B8504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sz val="10"/>
      <color rgb="FF6C757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E7C7B"/>
      <name val="Arial"/>
      <family val="0"/>
      <charset val="1"/>
    </font>
    <font>
      <sz val="10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095E5D"/>
      <name val="Arial"/>
      <family val="0"/>
      <charset val="1"/>
    </font>
    <font>
      <b val="true"/>
      <sz val="9"/>
      <color rgb="FFB8504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95E5D"/>
        <bgColor rgb="FF0E7C7B"/>
      </patternFill>
    </fill>
    <fill>
      <patternFill patternType="solid">
        <fgColor rgb="FFE6F4F4"/>
        <bgColor rgb="FFF8F9FA"/>
      </patternFill>
    </fill>
    <fill>
      <patternFill patternType="solid">
        <fgColor rgb="FFFFFFFF"/>
        <bgColor rgb="FFF9F9F9"/>
      </patternFill>
    </fill>
    <fill>
      <patternFill patternType="solid">
        <fgColor rgb="FFF8F9FA"/>
        <bgColor rgb="FFF9F9F9"/>
      </patternFill>
    </fill>
    <fill>
      <patternFill patternType="solid">
        <fgColor rgb="FF0E7C7B"/>
        <bgColor rgb="FF095E5D"/>
      </patternFill>
    </fill>
    <fill>
      <patternFill patternType="solid">
        <fgColor rgb="FF6C63FF"/>
        <bgColor rgb="FF6C757D"/>
      </patternFill>
    </fill>
    <fill>
      <patternFill patternType="solid">
        <fgColor rgb="FFF4A261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78787"/>
      <rgbColor rgb="FF9999FF"/>
      <rgbColor rgb="FFB85042"/>
      <rgbColor rgb="FFF9F9F9"/>
      <rgbColor rgb="FFE6F4F4"/>
      <rgbColor rgb="FF660066"/>
      <rgbColor rgb="FFF4A26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95E5D"/>
      <rgbColor rgb="FF0000FF"/>
      <rgbColor rgb="FF00CCFF"/>
      <rgbColor rgb="FFF8F9FA"/>
      <rgbColor rgb="FFDEE2E6"/>
      <rgbColor rgb="FFFFFF99"/>
      <rgbColor rgb="FF99CCFF"/>
      <rgbColor rgb="FFFF99CC"/>
      <rgbColor rgb="FFCC99FF"/>
      <rgbColor rgb="FFFFCC99"/>
      <rgbColor rgb="FF6C63FF"/>
      <rgbColor rgb="FF33CCCC"/>
      <rgbColor rgb="FF99CC00"/>
      <rgbColor rgb="FFFFCC00"/>
      <rgbColor rgb="FFFF9900"/>
      <rgbColor rgb="FFFF6600"/>
      <rgbColor rgb="FF6C757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Rides by Day: Members vs Casuals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'📅 Day of Week'!B4</c:f>
              <c:strCache>
                <c:ptCount val="1"/>
                <c:pt idx="0">
                  <c:v>Member Rides</c:v>
                </c:pt>
              </c:strCache>
            </c:strRef>
          </c:tx>
          <c:spPr>
            <a:solidFill>
              <a:srgbClr val="0E7C7B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Day of Week'!$A$5:$A$11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'📅 Day of Week'!$B$5:$B$11</c:f>
              <c:numCache>
                <c:formatCode>#,##0</c:formatCode>
                <c:ptCount val="7"/>
                <c:pt idx="0">
                  <c:v>527115</c:v>
                </c:pt>
                <c:pt idx="1">
                  <c:v>592396</c:v>
                </c:pt>
                <c:pt idx="2">
                  <c:v>594283</c:v>
                </c:pt>
                <c:pt idx="3">
                  <c:v>601366</c:v>
                </c:pt>
                <c:pt idx="4">
                  <c:v>548561</c:v>
                </c:pt>
                <c:pt idx="5">
                  <c:v>469412</c:v>
                </c:pt>
                <c:pt idx="6">
                  <c:v>414251</c:v>
                </c:pt>
              </c:numCache>
            </c:numRef>
          </c:val>
        </c:ser>
        <c:ser>
          <c:idx val="1"/>
          <c:order val="1"/>
          <c:tx>
            <c:strRef>
              <c:f>'📅 Day of Week'!C4</c:f>
              <c:strCache>
                <c:ptCount val="1"/>
                <c:pt idx="0">
                  <c:v>Casual Rides</c:v>
                </c:pt>
              </c:strCache>
            </c:strRef>
          </c:tx>
          <c:spPr>
            <a:solidFill>
              <a:srgbClr val="F4A26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Day of Week'!$A$5:$A$11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'📅 Day of Week'!$C$5:$C$11</c:f>
              <c:numCache>
                <c:formatCode>#,##0</c:formatCode>
                <c:ptCount val="7"/>
                <c:pt idx="0">
                  <c:v>244717</c:v>
                </c:pt>
                <c:pt idx="1">
                  <c:v>234389</c:v>
                </c:pt>
                <c:pt idx="2">
                  <c:v>236046</c:v>
                </c:pt>
                <c:pt idx="3">
                  <c:v>266553</c:v>
                </c:pt>
                <c:pt idx="4">
                  <c:v>322632</c:v>
                </c:pt>
                <c:pt idx="5">
                  <c:v>431737</c:v>
                </c:pt>
                <c:pt idx="6">
                  <c:v>359373</c:v>
                </c:pt>
              </c:numCache>
            </c:numRef>
          </c:val>
        </c:ser>
        <c:gapWidth val="150"/>
        <c:overlap val="0"/>
        <c:axId val="15840425"/>
        <c:axId val="14345331"/>
      </c:barChart>
      <c:catAx>
        <c:axId val="158404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 of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345331"/>
        <c:crosses val="autoZero"/>
        <c:auto val="1"/>
        <c:lblAlgn val="ctr"/>
        <c:lblOffset val="100"/>
        <c:noMultiLvlLbl val="0"/>
      </c:catAx>
      <c:valAx>
        <c:axId val="14345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Rides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8404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Ride Volume: Seasonal Trends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'📆 Monthly Trends'!B4</c:f>
              <c:strCache>
                <c:ptCount val="1"/>
                <c:pt idx="0">
                  <c:v>Member Rides</c:v>
                </c:pt>
              </c:strCache>
            </c:strRef>
          </c:tx>
          <c:spPr>
            <a:solidFill>
              <a:srgbClr val="0E7C7B"/>
            </a:solidFill>
            <a:ln w="24840">
              <a:solidFill>
                <a:srgbClr val="0E7C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'📆 Monthly Trends'!$A$5:$A$16</c:f>
              <c:strCache>
                <c:ptCount val="12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  <c:pt idx="6">
                  <c:v>Dec 2025</c:v>
                </c:pt>
                <c:pt idx="7">
                  <c:v>Jan 2026</c:v>
                </c:pt>
                <c:pt idx="8">
                  <c:v>Feb 2026</c:v>
                </c:pt>
                <c:pt idx="9">
                  <c:v>Mar 2026</c:v>
                </c:pt>
                <c:pt idx="10">
                  <c:v>Apr 2026</c:v>
                </c:pt>
                <c:pt idx="11">
                  <c:v>May 2026</c:v>
                </c:pt>
              </c:strCache>
            </c:strRef>
          </c:cat>
          <c:val>
            <c:numRef>
              <c:f>'📆 Monthly Trends'!$B$5:$B$16</c:f>
              <c:numCache>
                <c:formatCode>#,##0</c:formatCode>
                <c:ptCount val="12"/>
                <c:pt idx="0">
                  <c:v>386709</c:v>
                </c:pt>
                <c:pt idx="1">
                  <c:v>439965</c:v>
                </c:pt>
                <c:pt idx="2">
                  <c:v>452355</c:v>
                </c:pt>
                <c:pt idx="3">
                  <c:v>449202</c:v>
                </c:pt>
                <c:pt idx="4">
                  <c:v>421921</c:v>
                </c:pt>
                <c:pt idx="5">
                  <c:v>257292</c:v>
                </c:pt>
                <c:pt idx="6">
                  <c:v>112415</c:v>
                </c:pt>
                <c:pt idx="7">
                  <c:v>112933</c:v>
                </c:pt>
                <c:pt idx="8">
                  <c:v>160251</c:v>
                </c:pt>
                <c:pt idx="9">
                  <c:v>229121</c:v>
                </c:pt>
                <c:pt idx="10">
                  <c:v>316695</c:v>
                </c:pt>
                <c:pt idx="11">
                  <c:v>408484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'📆 Monthly Trends'!C4</c:f>
              <c:strCache>
                <c:ptCount val="1"/>
                <c:pt idx="0">
                  <c:v>Casual Rides</c:v>
                </c:pt>
              </c:strCache>
            </c:strRef>
          </c:tx>
          <c:spPr>
            <a:solidFill>
              <a:srgbClr val="F4A261"/>
            </a:solidFill>
            <a:ln w="24840">
              <a:solidFill>
                <a:srgbClr val="F4A26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'📆 Monthly Trends'!$A$5:$A$16</c:f>
              <c:strCache>
                <c:ptCount val="12"/>
                <c:pt idx="0">
                  <c:v>Jun 2025</c:v>
                </c:pt>
                <c:pt idx="1">
                  <c:v>Jul 2025</c:v>
                </c:pt>
                <c:pt idx="2">
                  <c:v>Aug 2025</c:v>
                </c:pt>
                <c:pt idx="3">
                  <c:v>Sep 2025</c:v>
                </c:pt>
                <c:pt idx="4">
                  <c:v>Oct 2025</c:v>
                </c:pt>
                <c:pt idx="5">
                  <c:v>Nov 2025</c:v>
                </c:pt>
                <c:pt idx="6">
                  <c:v>Dec 2025</c:v>
                </c:pt>
                <c:pt idx="7">
                  <c:v>Jan 2026</c:v>
                </c:pt>
                <c:pt idx="8">
                  <c:v>Feb 2026</c:v>
                </c:pt>
                <c:pt idx="9">
                  <c:v>Mar 2026</c:v>
                </c:pt>
                <c:pt idx="10">
                  <c:v>Apr 2026</c:v>
                </c:pt>
                <c:pt idx="11">
                  <c:v>May 2026</c:v>
                </c:pt>
              </c:strCache>
            </c:strRef>
          </c:cat>
          <c:val>
            <c:numRef>
              <c:f>'📆 Monthly Trends'!$C$5:$C$16</c:f>
              <c:numCache>
                <c:formatCode>#,##0</c:formatCode>
                <c:ptCount val="12"/>
                <c:pt idx="0">
                  <c:v>291138</c:v>
                </c:pt>
                <c:pt idx="1">
                  <c:v>322505</c:v>
                </c:pt>
                <c:pt idx="2">
                  <c:v>337246</c:v>
                </c:pt>
                <c:pt idx="3">
                  <c:v>264772</c:v>
                </c:pt>
                <c:pt idx="4">
                  <c:v>223569</c:v>
                </c:pt>
                <c:pt idx="5">
                  <c:v>98871</c:v>
                </c:pt>
                <c:pt idx="6">
                  <c:v>28005</c:v>
                </c:pt>
                <c:pt idx="7">
                  <c:v>24656</c:v>
                </c:pt>
                <c:pt idx="8">
                  <c:v>41088</c:v>
                </c:pt>
                <c:pt idx="9">
                  <c:v>87631</c:v>
                </c:pt>
                <c:pt idx="10">
                  <c:v>131231</c:v>
                </c:pt>
                <c:pt idx="11">
                  <c:v>244619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904586"/>
        <c:axId val="78844723"/>
      </c:lineChart>
      <c:catAx>
        <c:axId val="279045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844723"/>
        <c:crosses val="autoZero"/>
        <c:auto val="1"/>
        <c:lblAlgn val="ctr"/>
        <c:lblOffset val="100"/>
        <c:noMultiLvlLbl val="0"/>
      </c:catAx>
      <c:valAx>
        <c:axId val="788447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Rides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9045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6</xdr:col>
      <xdr:colOff>981720</xdr:colOff>
      <xdr:row>31</xdr:row>
      <xdr:rowOff>170640</xdr:rowOff>
    </xdr:to>
    <xdr:graphicFrame>
      <xdr:nvGraphicFramePr>
        <xdr:cNvPr id="1" name="Chart 1"/>
        <xdr:cNvGraphicFramePr/>
      </xdr:nvGraphicFramePr>
      <xdr:xfrm>
        <a:off x="0" y="32860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8</xdr:col>
      <xdr:colOff>33120</xdr:colOff>
      <xdr:row>39</xdr:row>
      <xdr:rowOff>149400</xdr:rowOff>
    </xdr:to>
    <xdr:graphicFrame>
      <xdr:nvGraphicFramePr>
        <xdr:cNvPr id="2" name="Chart 1"/>
        <xdr:cNvGraphicFramePr/>
      </xdr:nvGraphicFramePr>
      <xdr:xfrm>
        <a:off x="0" y="46004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10" min="4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9.7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1.75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  <c r="I5" s="4" t="s">
        <v>7</v>
      </c>
      <c r="J5" s="4"/>
    </row>
    <row r="6" customFormat="false" ht="21.75" hidden="false" customHeight="true" outlineLevel="0" collapsed="false">
      <c r="A6" s="5" t="s">
        <v>8</v>
      </c>
      <c r="B6" s="5"/>
      <c r="C6" s="5" t="s">
        <v>9</v>
      </c>
      <c r="D6" s="5"/>
      <c r="E6" s="6" t="s">
        <v>10</v>
      </c>
      <c r="F6" s="6"/>
      <c r="G6" s="5" t="s">
        <v>11</v>
      </c>
      <c r="H6" s="5"/>
      <c r="I6" s="5" t="s">
        <v>12</v>
      </c>
      <c r="J6" s="5"/>
    </row>
    <row r="7" customFormat="false" ht="21.75" hidden="false" customHeight="true" outlineLevel="0" collapsed="false">
      <c r="A7" s="7" t="s">
        <v>13</v>
      </c>
      <c r="B7" s="7"/>
      <c r="C7" s="7" t="s">
        <v>14</v>
      </c>
      <c r="D7" s="7"/>
      <c r="E7" s="7" t="s">
        <v>15</v>
      </c>
      <c r="F7" s="7"/>
      <c r="G7" s="7" t="s">
        <v>16</v>
      </c>
      <c r="H7" s="7"/>
      <c r="I7" s="7" t="s">
        <v>17</v>
      </c>
      <c r="J7" s="7"/>
    </row>
    <row r="8" customFormat="false" ht="9.75" hidden="false" customHeight="true" outlineLevel="0" collapsed="false"/>
    <row r="9" customFormat="false" ht="21.75" hidden="false" customHeight="true" outlineLevel="0" collapsed="false">
      <c r="A9" s="3" t="s">
        <v>18</v>
      </c>
      <c r="B9" s="3"/>
      <c r="C9" s="3"/>
      <c r="D9" s="3"/>
      <c r="E9" s="3"/>
      <c r="F9" s="3"/>
      <c r="G9" s="3"/>
      <c r="H9" s="3"/>
      <c r="I9" s="3"/>
      <c r="J9" s="3"/>
    </row>
    <row r="10" customFormat="false" ht="39.75" hidden="false" customHeight="true" outlineLevel="0" collapsed="false">
      <c r="A10" s="8" t="s">
        <v>19</v>
      </c>
      <c r="B10" s="9" t="s">
        <v>20</v>
      </c>
      <c r="C10" s="9"/>
      <c r="D10" s="10" t="s">
        <v>21</v>
      </c>
      <c r="E10" s="10"/>
      <c r="F10" s="10"/>
      <c r="G10" s="10"/>
      <c r="H10" s="10"/>
      <c r="I10" s="10"/>
      <c r="J10" s="10"/>
    </row>
    <row r="11" customFormat="false" ht="39.75" hidden="false" customHeight="true" outlineLevel="0" collapsed="false">
      <c r="A11" s="8" t="s">
        <v>22</v>
      </c>
      <c r="B11" s="11" t="s">
        <v>23</v>
      </c>
      <c r="C11" s="11"/>
      <c r="D11" s="12" t="s">
        <v>24</v>
      </c>
      <c r="E11" s="12"/>
      <c r="F11" s="12"/>
      <c r="G11" s="12"/>
      <c r="H11" s="12"/>
      <c r="I11" s="12"/>
      <c r="J11" s="12"/>
    </row>
    <row r="12" customFormat="false" ht="39.75" hidden="false" customHeight="true" outlineLevel="0" collapsed="false">
      <c r="A12" s="8" t="s">
        <v>25</v>
      </c>
      <c r="B12" s="9" t="s">
        <v>26</v>
      </c>
      <c r="C12" s="9"/>
      <c r="D12" s="10" t="s">
        <v>27</v>
      </c>
      <c r="E12" s="10"/>
      <c r="F12" s="10"/>
      <c r="G12" s="10"/>
      <c r="H12" s="10"/>
      <c r="I12" s="10"/>
      <c r="J12" s="10"/>
    </row>
    <row r="13" customFormat="false" ht="39.75" hidden="false" customHeight="true" outlineLevel="0" collapsed="false">
      <c r="A13" s="8" t="s">
        <v>28</v>
      </c>
      <c r="B13" s="11" t="s">
        <v>29</v>
      </c>
      <c r="C13" s="11"/>
      <c r="D13" s="12" t="s">
        <v>30</v>
      </c>
      <c r="E13" s="12"/>
      <c r="F13" s="12"/>
      <c r="G13" s="12"/>
      <c r="H13" s="12"/>
      <c r="I13" s="12"/>
      <c r="J13" s="12"/>
    </row>
    <row r="14" customFormat="false" ht="39.75" hidden="false" customHeight="true" outlineLevel="0" collapsed="false">
      <c r="A14" s="8" t="s">
        <v>31</v>
      </c>
      <c r="B14" s="9" t="s">
        <v>32</v>
      </c>
      <c r="C14" s="9"/>
      <c r="D14" s="10" t="s">
        <v>33</v>
      </c>
      <c r="E14" s="10"/>
      <c r="F14" s="10"/>
      <c r="G14" s="10"/>
      <c r="H14" s="10"/>
      <c r="I14" s="10"/>
      <c r="J14" s="10"/>
    </row>
    <row r="15" customFormat="false" ht="9.75" hidden="false" customHeight="true" outlineLevel="0" collapsed="false"/>
    <row r="16" customFormat="false" ht="21.75" hidden="false" customHeight="true" outlineLevel="0" collapsed="false">
      <c r="A16" s="3" t="s">
        <v>34</v>
      </c>
      <c r="B16" s="3"/>
      <c r="C16" s="3"/>
      <c r="D16" s="3"/>
      <c r="E16" s="3"/>
      <c r="F16" s="3"/>
      <c r="G16" s="3"/>
      <c r="H16" s="3"/>
      <c r="I16" s="3"/>
      <c r="J16" s="3"/>
    </row>
    <row r="17" customFormat="false" ht="49.5" hidden="false" customHeight="true" outlineLevel="0" collapsed="false">
      <c r="A17" s="8" t="s">
        <v>35</v>
      </c>
      <c r="B17" s="13" t="s">
        <v>36</v>
      </c>
      <c r="C17" s="13"/>
      <c r="D17" s="10" t="s">
        <v>37</v>
      </c>
      <c r="E17" s="10"/>
      <c r="F17" s="10"/>
      <c r="G17" s="10"/>
      <c r="H17" s="10"/>
      <c r="I17" s="10"/>
      <c r="J17" s="10"/>
    </row>
    <row r="18" customFormat="false" ht="49.5" hidden="false" customHeight="true" outlineLevel="0" collapsed="false">
      <c r="A18" s="14" t="s">
        <v>38</v>
      </c>
      <c r="B18" s="15" t="s">
        <v>39</v>
      </c>
      <c r="C18" s="15"/>
      <c r="D18" s="12" t="s">
        <v>40</v>
      </c>
      <c r="E18" s="12"/>
      <c r="F18" s="12"/>
      <c r="G18" s="12"/>
      <c r="H18" s="12"/>
      <c r="I18" s="12"/>
      <c r="J18" s="12"/>
    </row>
    <row r="19" customFormat="false" ht="49.5" hidden="false" customHeight="true" outlineLevel="0" collapsed="false">
      <c r="A19" s="16" t="s">
        <v>41</v>
      </c>
      <c r="B19" s="13" t="s">
        <v>42</v>
      </c>
      <c r="C19" s="13"/>
      <c r="D19" s="10" t="s">
        <v>43</v>
      </c>
      <c r="E19" s="10"/>
      <c r="F19" s="10"/>
      <c r="G19" s="10"/>
      <c r="H19" s="10"/>
      <c r="I19" s="10"/>
      <c r="J19" s="10"/>
    </row>
  </sheetData>
  <mergeCells count="36">
    <mergeCell ref="A1:J1"/>
    <mergeCell ref="A2:J2"/>
    <mergeCell ref="A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9:J9"/>
    <mergeCell ref="B10:C10"/>
    <mergeCell ref="D10:J10"/>
    <mergeCell ref="B11:C11"/>
    <mergeCell ref="D11:J11"/>
    <mergeCell ref="B12:C12"/>
    <mergeCell ref="D12:J12"/>
    <mergeCell ref="B13:C13"/>
    <mergeCell ref="D13:J13"/>
    <mergeCell ref="B14:C14"/>
    <mergeCell ref="D14:J14"/>
    <mergeCell ref="A16:J16"/>
    <mergeCell ref="B17:C17"/>
    <mergeCell ref="D17:J17"/>
    <mergeCell ref="B18:C18"/>
    <mergeCell ref="D18:J18"/>
    <mergeCell ref="B19:C19"/>
    <mergeCell ref="D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10"/>
    <col collapsed="false" customWidth="true" hidden="false" outlineLevel="0" max="8" min="7" style="0" width="22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7" t="s">
        <v>44</v>
      </c>
      <c r="B1" s="17"/>
      <c r="C1" s="17"/>
      <c r="D1" s="17"/>
      <c r="E1" s="17"/>
      <c r="F1" s="17"/>
      <c r="G1" s="17"/>
      <c r="H1" s="17"/>
      <c r="I1" s="17"/>
    </row>
    <row r="2" customFormat="false" ht="18" hidden="false" customHeight="true" outlineLevel="0" collapsed="false">
      <c r="A2" s="18" t="s">
        <v>45</v>
      </c>
      <c r="B2" s="18"/>
      <c r="C2" s="18"/>
      <c r="D2" s="18"/>
      <c r="E2" s="18"/>
      <c r="F2" s="18"/>
      <c r="G2" s="18"/>
      <c r="H2" s="18"/>
      <c r="I2" s="18"/>
    </row>
    <row r="3" customFormat="false" ht="7.5" hidden="false" customHeight="true" outlineLevel="0" collapsed="false"/>
    <row r="4" customFormat="false" ht="30" hidden="false" customHeight="true" outlineLevel="0" collapsed="false">
      <c r="A4" s="19" t="s">
        <v>46</v>
      </c>
      <c r="B4" s="19" t="s">
        <v>47</v>
      </c>
      <c r="C4" s="19" t="s">
        <v>48</v>
      </c>
      <c r="D4" s="19" t="s">
        <v>49</v>
      </c>
      <c r="E4" s="19" t="s">
        <v>50</v>
      </c>
      <c r="F4" s="19" t="s">
        <v>51</v>
      </c>
      <c r="G4" s="19" t="s">
        <v>52</v>
      </c>
      <c r="H4" s="19" t="s">
        <v>53</v>
      </c>
      <c r="I4" s="19" t="s">
        <v>54</v>
      </c>
    </row>
    <row r="5" customFormat="false" ht="19.5" hidden="false" customHeight="true" outlineLevel="0" collapsed="false">
      <c r="A5" s="20" t="s">
        <v>55</v>
      </c>
      <c r="B5" s="21" t="n">
        <v>527115</v>
      </c>
      <c r="C5" s="21" t="n">
        <v>244717</v>
      </c>
      <c r="D5" s="22" t="n">
        <f aca="false">B5+C5</f>
        <v>771832</v>
      </c>
      <c r="E5" s="23" t="n">
        <f aca="false">B5/D5</f>
        <v>0.682940069859762</v>
      </c>
      <c r="F5" s="23" t="n">
        <f aca="false">C5/D5</f>
        <v>0.317059930140238</v>
      </c>
      <c r="G5" s="24" t="n">
        <v>11.8</v>
      </c>
      <c r="H5" s="24" t="n">
        <v>19</v>
      </c>
      <c r="I5" s="23" t="n">
        <f aca="false">(H5-G5)/G5</f>
        <v>0.610169491525424</v>
      </c>
    </row>
    <row r="6" customFormat="false" ht="19.5" hidden="false" customHeight="true" outlineLevel="0" collapsed="false">
      <c r="A6" s="25" t="s">
        <v>56</v>
      </c>
      <c r="B6" s="26" t="n">
        <v>592396</v>
      </c>
      <c r="C6" s="26" t="n">
        <v>234389</v>
      </c>
      <c r="D6" s="27" t="n">
        <f aca="false">B6+C6</f>
        <v>826785</v>
      </c>
      <c r="E6" s="28" t="n">
        <f aca="false">B6/D6</f>
        <v>0.716505500220735</v>
      </c>
      <c r="F6" s="28" t="n">
        <f aca="false">C6/D6</f>
        <v>0.283494499779265</v>
      </c>
      <c r="G6" s="29" t="n">
        <v>11.6</v>
      </c>
      <c r="H6" s="29" t="n">
        <v>16.5</v>
      </c>
      <c r="I6" s="28" t="n">
        <f aca="false">(H6-G6)/G6</f>
        <v>0.422413793103448</v>
      </c>
    </row>
    <row r="7" customFormat="false" ht="19.5" hidden="false" customHeight="true" outlineLevel="0" collapsed="false">
      <c r="A7" s="20" t="s">
        <v>57</v>
      </c>
      <c r="B7" s="21" t="n">
        <v>594283</v>
      </c>
      <c r="C7" s="21" t="n">
        <v>236046</v>
      </c>
      <c r="D7" s="22" t="n">
        <f aca="false">B7+C7</f>
        <v>830329</v>
      </c>
      <c r="E7" s="23" t="n">
        <f aca="false">B7/D7</f>
        <v>0.715719913431905</v>
      </c>
      <c r="F7" s="23" t="n">
        <f aca="false">C7/D7</f>
        <v>0.284280086568095</v>
      </c>
      <c r="G7" s="24" t="n">
        <v>11.6</v>
      </c>
      <c r="H7" s="24" t="n">
        <v>15.7</v>
      </c>
      <c r="I7" s="23" t="n">
        <f aca="false">(H7-G7)/G7</f>
        <v>0.353448275862069</v>
      </c>
    </row>
    <row r="8" customFormat="false" ht="19.5" hidden="false" customHeight="true" outlineLevel="0" collapsed="false">
      <c r="A8" s="25" t="s">
        <v>58</v>
      </c>
      <c r="B8" s="26" t="n">
        <v>601366</v>
      </c>
      <c r="C8" s="26" t="n">
        <v>266553</v>
      </c>
      <c r="D8" s="27" t="n">
        <f aca="false">B8+C8</f>
        <v>867919</v>
      </c>
      <c r="E8" s="28" t="n">
        <f aca="false">B8/D8</f>
        <v>0.692882630752409</v>
      </c>
      <c r="F8" s="28" t="n">
        <f aca="false">C8/D8</f>
        <v>0.307117369247591</v>
      </c>
      <c r="G8" s="29" t="n">
        <v>11.6</v>
      </c>
      <c r="H8" s="29" t="n">
        <v>16.5</v>
      </c>
      <c r="I8" s="28" t="n">
        <f aca="false">(H8-G8)/G8</f>
        <v>0.422413793103448</v>
      </c>
    </row>
    <row r="9" customFormat="false" ht="19.5" hidden="false" customHeight="true" outlineLevel="0" collapsed="false">
      <c r="A9" s="20" t="s">
        <v>59</v>
      </c>
      <c r="B9" s="21" t="n">
        <v>548561</v>
      </c>
      <c r="C9" s="21" t="n">
        <v>322632</v>
      </c>
      <c r="D9" s="22" t="n">
        <f aca="false">B9+C9</f>
        <v>871193</v>
      </c>
      <c r="E9" s="23" t="n">
        <f aca="false">B9/D9</f>
        <v>0.629666445896604</v>
      </c>
      <c r="F9" s="23" t="n">
        <f aca="false">C9/D9</f>
        <v>0.370333554103396</v>
      </c>
      <c r="G9" s="24" t="n">
        <v>12</v>
      </c>
      <c r="H9" s="24" t="n">
        <v>18.4</v>
      </c>
      <c r="I9" s="23" t="n">
        <f aca="false">(H9-G9)/G9</f>
        <v>0.533333333333333</v>
      </c>
    </row>
    <row r="10" customFormat="false" ht="19.5" hidden="false" customHeight="true" outlineLevel="0" collapsed="false">
      <c r="A10" s="25" t="s">
        <v>60</v>
      </c>
      <c r="B10" s="26" t="n">
        <v>469412</v>
      </c>
      <c r="C10" s="30" t="n">
        <v>431737</v>
      </c>
      <c r="D10" s="27" t="n">
        <f aca="false">B10+C10</f>
        <v>901149</v>
      </c>
      <c r="E10" s="28" t="n">
        <f aca="false">B10/D10</f>
        <v>0.520903868283713</v>
      </c>
      <c r="F10" s="28" t="n">
        <f aca="false">C10/D10</f>
        <v>0.479096131716287</v>
      </c>
      <c r="G10" s="29" t="n">
        <v>13.2</v>
      </c>
      <c r="H10" s="29" t="n">
        <v>21.2</v>
      </c>
      <c r="I10" s="28" t="n">
        <f aca="false">(H10-G10)/G10</f>
        <v>0.606060606060606</v>
      </c>
    </row>
    <row r="11" customFormat="false" ht="19.5" hidden="false" customHeight="true" outlineLevel="0" collapsed="false">
      <c r="A11" s="20" t="s">
        <v>61</v>
      </c>
      <c r="B11" s="21" t="n">
        <v>414251</v>
      </c>
      <c r="C11" s="21" t="n">
        <v>359373</v>
      </c>
      <c r="D11" s="22" t="n">
        <f aca="false">B11+C11</f>
        <v>773624</v>
      </c>
      <c r="E11" s="23" t="n">
        <f aca="false">B11/D11</f>
        <v>0.535468134390867</v>
      </c>
      <c r="F11" s="23" t="n">
        <f aca="false">C11/D11</f>
        <v>0.464531865609133</v>
      </c>
      <c r="G11" s="24" t="n">
        <v>13.2</v>
      </c>
      <c r="H11" s="24" t="n">
        <v>21.9</v>
      </c>
      <c r="I11" s="23" t="n">
        <f aca="false">(H11-G11)/G11</f>
        <v>0.659090909090909</v>
      </c>
    </row>
    <row r="12" customFormat="false" ht="21.75" hidden="false" customHeight="true" outlineLevel="0" collapsed="false">
      <c r="A12" s="31" t="s">
        <v>62</v>
      </c>
      <c r="B12" s="32" t="n">
        <f aca="false">SUM(B5:B11)</f>
        <v>3747384</v>
      </c>
      <c r="C12" s="32" t="n">
        <f aca="false">SUM(C5:C11)</f>
        <v>2095447</v>
      </c>
      <c r="D12" s="32" t="n">
        <f aca="false">B12+C12</f>
        <v>5842831</v>
      </c>
      <c r="E12" s="33" t="n">
        <f aca="false">B12/D12</f>
        <v>0.641364434466785</v>
      </c>
      <c r="F12" s="33" t="n">
        <f aca="false">C12/D12</f>
        <v>0.358635565533215</v>
      </c>
      <c r="G12" s="34" t="n">
        <f aca="false">AVERAGE(G5:G11)</f>
        <v>12.1428571428571</v>
      </c>
      <c r="H12" s="34" t="n">
        <f aca="false">AVERAGE(H5:H11)</f>
        <v>18.4571428571429</v>
      </c>
      <c r="I12" s="33" t="n">
        <f aca="false">(H12-G12)/G12</f>
        <v>0.52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6" min="5" style="0" width="10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7" t="s">
        <v>63</v>
      </c>
      <c r="B1" s="17"/>
      <c r="C1" s="17"/>
      <c r="D1" s="17"/>
      <c r="E1" s="17"/>
      <c r="F1" s="17"/>
      <c r="G1" s="17"/>
    </row>
    <row r="2" customFormat="false" ht="18" hidden="false" customHeight="true" outlineLevel="0" collapsed="false">
      <c r="A2" s="18" t="s">
        <v>64</v>
      </c>
      <c r="B2" s="18"/>
      <c r="C2" s="18"/>
      <c r="D2" s="18"/>
      <c r="E2" s="18"/>
      <c r="F2" s="18"/>
      <c r="G2" s="18"/>
    </row>
    <row r="3" customFormat="false" ht="7.5" hidden="false" customHeight="true" outlineLevel="0" collapsed="false"/>
    <row r="4" customFormat="false" ht="27.75" hidden="false" customHeight="true" outlineLevel="0" collapsed="false">
      <c r="A4" s="19" t="s">
        <v>65</v>
      </c>
      <c r="B4" s="19" t="s">
        <v>47</v>
      </c>
      <c r="C4" s="19" t="s">
        <v>48</v>
      </c>
      <c r="D4" s="19" t="s">
        <v>49</v>
      </c>
      <c r="E4" s="19" t="s">
        <v>50</v>
      </c>
      <c r="F4" s="19" t="s">
        <v>51</v>
      </c>
      <c r="G4" s="19" t="s">
        <v>66</v>
      </c>
    </row>
    <row r="5" customFormat="false" ht="19.5" hidden="false" customHeight="true" outlineLevel="0" collapsed="false">
      <c r="A5" s="35" t="s">
        <v>67</v>
      </c>
      <c r="B5" s="21" t="n">
        <v>386709</v>
      </c>
      <c r="C5" s="21" t="n">
        <v>291138</v>
      </c>
      <c r="D5" s="22" t="n">
        <f aca="false">B5+C5</f>
        <v>677847</v>
      </c>
      <c r="E5" s="23" t="n">
        <f aca="false">B5/D5</f>
        <v>0.570495996884253</v>
      </c>
      <c r="F5" s="23" t="n">
        <f aca="false">C5/D5</f>
        <v>0.429504003115747</v>
      </c>
      <c r="G5" s="36" t="s">
        <v>68</v>
      </c>
    </row>
    <row r="6" customFormat="false" ht="19.5" hidden="false" customHeight="true" outlineLevel="0" collapsed="false">
      <c r="A6" s="37" t="s">
        <v>69</v>
      </c>
      <c r="B6" s="26" t="n">
        <v>439965</v>
      </c>
      <c r="C6" s="26" t="n">
        <v>322505</v>
      </c>
      <c r="D6" s="27" t="n">
        <f aca="false">B6+C6</f>
        <v>762470</v>
      </c>
      <c r="E6" s="28" t="n">
        <f aca="false">B6/D6</f>
        <v>0.577025981350086</v>
      </c>
      <c r="F6" s="28" t="n">
        <f aca="false">C6/D6</f>
        <v>0.422974018649914</v>
      </c>
      <c r="G6" s="28" t="n">
        <f aca="false">(C6-C5)/C5</f>
        <v>0.107739285149998</v>
      </c>
    </row>
    <row r="7" customFormat="false" ht="19.5" hidden="false" customHeight="true" outlineLevel="0" collapsed="false">
      <c r="A7" s="35" t="s">
        <v>70</v>
      </c>
      <c r="B7" s="21" t="n">
        <v>452355</v>
      </c>
      <c r="C7" s="21" t="n">
        <v>337246</v>
      </c>
      <c r="D7" s="22" t="n">
        <f aca="false">B7+C7</f>
        <v>789601</v>
      </c>
      <c r="E7" s="23" t="n">
        <f aca="false">B7/D7</f>
        <v>0.572890611840664</v>
      </c>
      <c r="F7" s="23" t="n">
        <f aca="false">C7/D7</f>
        <v>0.427109388159336</v>
      </c>
      <c r="G7" s="23" t="n">
        <f aca="false">(C7-C6)/C6</f>
        <v>0.0457078184834344</v>
      </c>
    </row>
    <row r="8" customFormat="false" ht="19.5" hidden="false" customHeight="true" outlineLevel="0" collapsed="false">
      <c r="A8" s="37" t="s">
        <v>71</v>
      </c>
      <c r="B8" s="26" t="n">
        <v>449202</v>
      </c>
      <c r="C8" s="26" t="n">
        <v>264772</v>
      </c>
      <c r="D8" s="27" t="n">
        <f aca="false">B8+C8</f>
        <v>713974</v>
      </c>
      <c r="E8" s="28" t="n">
        <f aca="false">B8/D8</f>
        <v>0.629157364273769</v>
      </c>
      <c r="F8" s="28" t="n">
        <f aca="false">C8/D8</f>
        <v>0.370842635726231</v>
      </c>
      <c r="G8" s="28" t="n">
        <f aca="false">(C8-C7)/C7</f>
        <v>-0.214899509556822</v>
      </c>
    </row>
    <row r="9" customFormat="false" ht="19.5" hidden="false" customHeight="true" outlineLevel="0" collapsed="false">
      <c r="A9" s="35" t="s">
        <v>72</v>
      </c>
      <c r="B9" s="21" t="n">
        <v>421921</v>
      </c>
      <c r="C9" s="21" t="n">
        <v>223569</v>
      </c>
      <c r="D9" s="22" t="n">
        <f aca="false">B9+C9</f>
        <v>645490</v>
      </c>
      <c r="E9" s="23" t="n">
        <f aca="false">B9/D9</f>
        <v>0.653644518118019</v>
      </c>
      <c r="F9" s="23" t="n">
        <f aca="false">C9/D9</f>
        <v>0.346355481881981</v>
      </c>
      <c r="G9" s="23" t="n">
        <f aca="false">(C9-C8)/C8</f>
        <v>-0.15561690813228</v>
      </c>
    </row>
    <row r="10" customFormat="false" ht="19.5" hidden="false" customHeight="true" outlineLevel="0" collapsed="false">
      <c r="A10" s="37" t="s">
        <v>73</v>
      </c>
      <c r="B10" s="26" t="n">
        <v>257292</v>
      </c>
      <c r="C10" s="26" t="n">
        <v>98871</v>
      </c>
      <c r="D10" s="27" t="n">
        <f aca="false">B10+C10</f>
        <v>356163</v>
      </c>
      <c r="E10" s="28" t="n">
        <f aca="false">B10/D10</f>
        <v>0.722399575475274</v>
      </c>
      <c r="F10" s="28" t="n">
        <f aca="false">C10/D10</f>
        <v>0.277600424524726</v>
      </c>
      <c r="G10" s="28" t="n">
        <f aca="false">(C10-C9)/C9</f>
        <v>-0.557760691330193</v>
      </c>
    </row>
    <row r="11" customFormat="false" ht="19.5" hidden="false" customHeight="true" outlineLevel="0" collapsed="false">
      <c r="A11" s="35" t="s">
        <v>74</v>
      </c>
      <c r="B11" s="21" t="n">
        <v>112415</v>
      </c>
      <c r="C11" s="21" t="n">
        <v>28005</v>
      </c>
      <c r="D11" s="22" t="n">
        <f aca="false">B11+C11</f>
        <v>140420</v>
      </c>
      <c r="E11" s="23" t="n">
        <f aca="false">B11/D11</f>
        <v>0.800562597920524</v>
      </c>
      <c r="F11" s="23" t="n">
        <f aca="false">C11/D11</f>
        <v>0.199437402079476</v>
      </c>
      <c r="G11" s="23" t="n">
        <f aca="false">(C11-C10)/C10</f>
        <v>-0.716752131565373</v>
      </c>
    </row>
    <row r="12" customFormat="false" ht="19.5" hidden="false" customHeight="true" outlineLevel="0" collapsed="false">
      <c r="A12" s="37" t="s">
        <v>75</v>
      </c>
      <c r="B12" s="26" t="n">
        <v>112933</v>
      </c>
      <c r="C12" s="26" t="n">
        <v>24656</v>
      </c>
      <c r="D12" s="27" t="n">
        <f aca="false">B12+C12</f>
        <v>137589</v>
      </c>
      <c r="E12" s="28" t="n">
        <f aca="false">B12/D12</f>
        <v>0.820799627877229</v>
      </c>
      <c r="F12" s="28" t="n">
        <f aca="false">C12/D12</f>
        <v>0.179200372122771</v>
      </c>
      <c r="G12" s="28" t="n">
        <f aca="false">(C12-C11)/C11</f>
        <v>-0.119585788252098</v>
      </c>
    </row>
    <row r="13" customFormat="false" ht="19.5" hidden="false" customHeight="true" outlineLevel="0" collapsed="false">
      <c r="A13" s="35" t="s">
        <v>76</v>
      </c>
      <c r="B13" s="21" t="n">
        <v>160251</v>
      </c>
      <c r="C13" s="21" t="n">
        <v>41088</v>
      </c>
      <c r="D13" s="22" t="n">
        <f aca="false">B13+C13</f>
        <v>201339</v>
      </c>
      <c r="E13" s="23" t="n">
        <f aca="false">B13/D13</f>
        <v>0.79592627359826</v>
      </c>
      <c r="F13" s="23" t="n">
        <f aca="false">C13/D13</f>
        <v>0.20407372640174</v>
      </c>
      <c r="G13" s="23" t="n">
        <f aca="false">(C13-C12)/C12</f>
        <v>0.666450356911097</v>
      </c>
    </row>
    <row r="14" customFormat="false" ht="19.5" hidden="false" customHeight="true" outlineLevel="0" collapsed="false">
      <c r="A14" s="37" t="s">
        <v>77</v>
      </c>
      <c r="B14" s="26" t="n">
        <v>229121</v>
      </c>
      <c r="C14" s="26" t="n">
        <v>87631</v>
      </c>
      <c r="D14" s="27" t="n">
        <f aca="false">B14+C14</f>
        <v>316752</v>
      </c>
      <c r="E14" s="28" t="n">
        <f aca="false">B14/D14</f>
        <v>0.723345077537001</v>
      </c>
      <c r="F14" s="28" t="n">
        <f aca="false">C14/D14</f>
        <v>0.276654922462999</v>
      </c>
      <c r="G14" s="28" t="n">
        <f aca="false">(C14-C13)/C13</f>
        <v>1.13276382398754</v>
      </c>
    </row>
    <row r="15" customFormat="false" ht="19.5" hidden="false" customHeight="true" outlineLevel="0" collapsed="false">
      <c r="A15" s="35" t="s">
        <v>78</v>
      </c>
      <c r="B15" s="21" t="n">
        <v>316695</v>
      </c>
      <c r="C15" s="21" t="n">
        <v>131231</v>
      </c>
      <c r="D15" s="22" t="n">
        <f aca="false">B15+C15</f>
        <v>447926</v>
      </c>
      <c r="E15" s="23" t="n">
        <f aca="false">B15/D15</f>
        <v>0.707025267566518</v>
      </c>
      <c r="F15" s="23" t="n">
        <f aca="false">C15/D15</f>
        <v>0.292974732433482</v>
      </c>
      <c r="G15" s="23" t="n">
        <f aca="false">(C15-C14)/C14</f>
        <v>0.497540824594036</v>
      </c>
    </row>
    <row r="16" customFormat="false" ht="19.5" hidden="false" customHeight="true" outlineLevel="0" collapsed="false">
      <c r="A16" s="37" t="s">
        <v>79</v>
      </c>
      <c r="B16" s="26" t="n">
        <v>408484</v>
      </c>
      <c r="C16" s="26" t="n">
        <v>244619</v>
      </c>
      <c r="D16" s="27" t="n">
        <f aca="false">B16+C16</f>
        <v>653103</v>
      </c>
      <c r="E16" s="28" t="n">
        <f aca="false">B16/D16</f>
        <v>0.625451115673944</v>
      </c>
      <c r="F16" s="28" t="n">
        <f aca="false">C16/D16</f>
        <v>0.374548884326056</v>
      </c>
      <c r="G16" s="28" t="n">
        <f aca="false">(C16-C15)/C15</f>
        <v>0.864033650585609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4" min="3" style="0" width="13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7" t="s">
        <v>80</v>
      </c>
      <c r="B1" s="17"/>
      <c r="C1" s="17"/>
      <c r="D1" s="17"/>
      <c r="E1" s="17"/>
      <c r="F1" s="17"/>
      <c r="G1" s="17"/>
      <c r="H1" s="17"/>
    </row>
    <row r="2" customFormat="false" ht="9.75" hidden="false" customHeight="true" outlineLevel="0" collapsed="false"/>
    <row r="3" customFormat="false" ht="21.75" hidden="false" customHeight="true" outlineLevel="0" collapsed="false">
      <c r="A3" s="38" t="s">
        <v>81</v>
      </c>
      <c r="B3" s="38"/>
      <c r="C3" s="38"/>
      <c r="D3" s="38"/>
      <c r="E3" s="38"/>
      <c r="F3" s="38"/>
      <c r="G3" s="38"/>
      <c r="H3" s="38"/>
    </row>
    <row r="4" customFormat="false" ht="24" hidden="false" customHeight="true" outlineLevel="0" collapsed="false">
      <c r="A4" s="39" t="s">
        <v>82</v>
      </c>
      <c r="B4" s="39" t="s">
        <v>83</v>
      </c>
      <c r="C4" s="39" t="s">
        <v>84</v>
      </c>
      <c r="D4" s="39" t="s">
        <v>85</v>
      </c>
      <c r="E4" s="39" t="s">
        <v>86</v>
      </c>
    </row>
    <row r="5" customFormat="false" ht="19.5" hidden="false" customHeight="true" outlineLevel="0" collapsed="false">
      <c r="A5" s="35" t="s">
        <v>87</v>
      </c>
      <c r="B5" s="24" t="n">
        <v>12.1</v>
      </c>
      <c r="C5" s="40" t="n">
        <v>18.9</v>
      </c>
      <c r="D5" s="41" t="n">
        <f aca="false">C5-B5</f>
        <v>6.8</v>
      </c>
      <c r="E5" s="23" t="n">
        <f aca="false">(C5-B5)/B5</f>
        <v>0.56198347107438</v>
      </c>
    </row>
    <row r="6" customFormat="false" ht="19.5" hidden="false" customHeight="true" outlineLevel="0" collapsed="false">
      <c r="A6" s="37" t="s">
        <v>88</v>
      </c>
      <c r="B6" s="29" t="n">
        <v>8.6</v>
      </c>
      <c r="C6" s="42" t="n">
        <v>11.2</v>
      </c>
      <c r="D6" s="43" t="n">
        <f aca="false">C6-B6</f>
        <v>2.6</v>
      </c>
      <c r="E6" s="28" t="n">
        <f aca="false">(C6-B6)/B6</f>
        <v>0.302325581395349</v>
      </c>
    </row>
    <row r="7" customFormat="false" ht="19.5" hidden="false" customHeight="true" outlineLevel="0" collapsed="false">
      <c r="A7" s="35" t="s">
        <v>89</v>
      </c>
      <c r="B7" s="24" t="n">
        <v>13.2</v>
      </c>
      <c r="C7" s="40" t="n">
        <v>21.2</v>
      </c>
      <c r="D7" s="41" t="n">
        <f aca="false">C7-B7</f>
        <v>8</v>
      </c>
      <c r="E7" s="23" t="n">
        <f aca="false">(C7-B7)/B7</f>
        <v>0.606060606060606</v>
      </c>
    </row>
    <row r="8" customFormat="false" ht="19.5" hidden="false" customHeight="true" outlineLevel="0" collapsed="false">
      <c r="A8" s="37" t="s">
        <v>90</v>
      </c>
      <c r="B8" s="29" t="n">
        <v>13.2</v>
      </c>
      <c r="C8" s="42" t="n">
        <v>21.9</v>
      </c>
      <c r="D8" s="43" t="n">
        <f aca="false">C8-B8</f>
        <v>8.7</v>
      </c>
      <c r="E8" s="28" t="n">
        <f aca="false">(C8-B8)/B8</f>
        <v>0.659090909090909</v>
      </c>
    </row>
    <row r="9" customFormat="false" ht="19.5" hidden="false" customHeight="true" outlineLevel="0" collapsed="false">
      <c r="A9" s="35" t="s">
        <v>91</v>
      </c>
      <c r="B9" s="24" t="n">
        <v>11.8</v>
      </c>
      <c r="C9" s="40" t="n">
        <v>19</v>
      </c>
      <c r="D9" s="41" t="n">
        <f aca="false">C9-B9</f>
        <v>7.2</v>
      </c>
      <c r="E9" s="23" t="n">
        <f aca="false">(C9-B9)/B9</f>
        <v>0.610169491525424</v>
      </c>
    </row>
    <row r="11" customFormat="false" ht="9.75" hidden="false" customHeight="true" outlineLevel="0" collapsed="false"/>
    <row r="12" customFormat="false" ht="21.75" hidden="false" customHeight="true" outlineLevel="0" collapsed="false">
      <c r="A12" s="38" t="s">
        <v>92</v>
      </c>
      <c r="B12" s="38"/>
      <c r="C12" s="38"/>
      <c r="D12" s="38"/>
      <c r="E12" s="38"/>
      <c r="F12" s="38"/>
      <c r="G12" s="38"/>
      <c r="H12" s="38"/>
    </row>
    <row r="13" customFormat="false" ht="24" hidden="false" customHeight="true" outlineLevel="0" collapsed="false">
      <c r="A13" s="39" t="s">
        <v>93</v>
      </c>
      <c r="B13" s="39" t="s">
        <v>47</v>
      </c>
      <c r="C13" s="39" t="s">
        <v>48</v>
      </c>
      <c r="D13" s="39" t="s">
        <v>94</v>
      </c>
      <c r="E13" s="39" t="s">
        <v>50</v>
      </c>
      <c r="F13" s="39" t="s">
        <v>51</v>
      </c>
      <c r="G13" s="39" t="s">
        <v>95</v>
      </c>
    </row>
    <row r="14" customFormat="false" ht="18" hidden="false" customHeight="true" outlineLevel="0" collapsed="false">
      <c r="A14" s="44" t="s">
        <v>96</v>
      </c>
      <c r="B14" s="45" t="n">
        <v>33954</v>
      </c>
      <c r="C14" s="45" t="n">
        <v>41378</v>
      </c>
      <c r="D14" s="46" t="n">
        <f aca="false">B14+C14</f>
        <v>75332</v>
      </c>
      <c r="E14" s="47" t="n">
        <f aca="false">B14/D14</f>
        <v>0.450724791589232</v>
      </c>
      <c r="F14" s="47" t="n">
        <f aca="false">C14/D14</f>
        <v>0.549275208410768</v>
      </c>
      <c r="G14" s="48"/>
    </row>
    <row r="15" customFormat="false" ht="18" hidden="false" customHeight="true" outlineLevel="0" collapsed="false">
      <c r="A15" s="49" t="s">
        <v>97</v>
      </c>
      <c r="B15" s="50" t="n">
        <v>20902</v>
      </c>
      <c r="C15" s="50" t="n">
        <v>26684</v>
      </c>
      <c r="D15" s="51" t="n">
        <f aca="false">B15+C15</f>
        <v>47586</v>
      </c>
      <c r="E15" s="52" t="n">
        <f aca="false">B15/D15</f>
        <v>0.43924683730509</v>
      </c>
      <c r="F15" s="52" t="n">
        <f aca="false">C15/D15</f>
        <v>0.56075316269491</v>
      </c>
      <c r="G15" s="53"/>
    </row>
    <row r="16" customFormat="false" ht="18" hidden="false" customHeight="true" outlineLevel="0" collapsed="false">
      <c r="A16" s="44" t="s">
        <v>98</v>
      </c>
      <c r="B16" s="45" t="n">
        <v>12616</v>
      </c>
      <c r="C16" s="45" t="n">
        <v>17707</v>
      </c>
      <c r="D16" s="46" t="n">
        <f aca="false">B16+C16</f>
        <v>30323</v>
      </c>
      <c r="E16" s="47" t="n">
        <f aca="false">B16/D16</f>
        <v>0.416053820532269</v>
      </c>
      <c r="F16" s="47" t="n">
        <f aca="false">C16/D16</f>
        <v>0.583946179467731</v>
      </c>
      <c r="G16" s="48"/>
    </row>
    <row r="17" customFormat="false" ht="18" hidden="false" customHeight="true" outlineLevel="0" collapsed="false">
      <c r="A17" s="49" t="s">
        <v>99</v>
      </c>
      <c r="B17" s="50" t="n">
        <v>8219</v>
      </c>
      <c r="C17" s="50" t="n">
        <v>9811</v>
      </c>
      <c r="D17" s="51" t="n">
        <f aca="false">B17+C17</f>
        <v>18030</v>
      </c>
      <c r="E17" s="52" t="n">
        <f aca="false">B17/D17</f>
        <v>0.455851358846367</v>
      </c>
      <c r="F17" s="52" t="n">
        <f aca="false">C17/D17</f>
        <v>0.544148641153633</v>
      </c>
      <c r="G17" s="53"/>
    </row>
    <row r="18" customFormat="false" ht="18" hidden="false" customHeight="true" outlineLevel="0" collapsed="false">
      <c r="A18" s="44" t="s">
        <v>100</v>
      </c>
      <c r="B18" s="45" t="n">
        <v>9192</v>
      </c>
      <c r="C18" s="45" t="n">
        <v>7781</v>
      </c>
      <c r="D18" s="46" t="n">
        <f aca="false">B18+C18</f>
        <v>16973</v>
      </c>
      <c r="E18" s="47" t="n">
        <f aca="false">B18/D18</f>
        <v>0.541566016614623</v>
      </c>
      <c r="F18" s="47" t="n">
        <f aca="false">C18/D18</f>
        <v>0.458433983385377</v>
      </c>
      <c r="G18" s="48"/>
    </row>
    <row r="19" customFormat="false" ht="18" hidden="false" customHeight="true" outlineLevel="0" collapsed="false">
      <c r="A19" s="49" t="s">
        <v>101</v>
      </c>
      <c r="B19" s="50" t="n">
        <v>36083</v>
      </c>
      <c r="C19" s="50" t="n">
        <v>12271</v>
      </c>
      <c r="D19" s="51" t="n">
        <f aca="false">B19+C19</f>
        <v>48354</v>
      </c>
      <c r="E19" s="52" t="n">
        <f aca="false">B19/D19</f>
        <v>0.746225751747529</v>
      </c>
      <c r="F19" s="52" t="n">
        <f aca="false">C19/D19</f>
        <v>0.253774248252471</v>
      </c>
      <c r="G19" s="53"/>
    </row>
    <row r="20" customFormat="false" ht="18" hidden="false" customHeight="true" outlineLevel="0" collapsed="false">
      <c r="A20" s="44" t="s">
        <v>102</v>
      </c>
      <c r="B20" s="45" t="n">
        <v>105733</v>
      </c>
      <c r="C20" s="45" t="n">
        <v>27720</v>
      </c>
      <c r="D20" s="46" t="n">
        <f aca="false">B20+C20</f>
        <v>133453</v>
      </c>
      <c r="E20" s="47" t="n">
        <f aca="false">B20/D20</f>
        <v>0.792286422935416</v>
      </c>
      <c r="F20" s="47" t="n">
        <f aca="false">C20/D20</f>
        <v>0.207713577064585</v>
      </c>
      <c r="G20" s="48"/>
    </row>
    <row r="21" customFormat="false" ht="18" hidden="false" customHeight="true" outlineLevel="0" collapsed="false">
      <c r="A21" s="49" t="s">
        <v>103</v>
      </c>
      <c r="B21" s="50" t="n">
        <v>210185</v>
      </c>
      <c r="C21" s="50" t="n">
        <v>51372</v>
      </c>
      <c r="D21" s="51" t="n">
        <f aca="false">B21+C21</f>
        <v>261557</v>
      </c>
      <c r="E21" s="52" t="n">
        <f aca="false">B21/D21</f>
        <v>0.803591568950554</v>
      </c>
      <c r="F21" s="52" t="n">
        <f aca="false">C21/D21</f>
        <v>0.196408431049446</v>
      </c>
      <c r="G21" s="53"/>
    </row>
    <row r="22" customFormat="false" ht="18" hidden="false" customHeight="true" outlineLevel="0" collapsed="false">
      <c r="A22" s="44" t="s">
        <v>104</v>
      </c>
      <c r="B22" s="45" t="n">
        <v>273069</v>
      </c>
      <c r="C22" s="45" t="n">
        <v>73940</v>
      </c>
      <c r="D22" s="46" t="n">
        <f aca="false">B22+C22</f>
        <v>347009</v>
      </c>
      <c r="E22" s="47" t="n">
        <f aca="false">B22/D22</f>
        <v>0.786921953032919</v>
      </c>
      <c r="F22" s="47" t="n">
        <f aca="false">C22/D22</f>
        <v>0.213078046967082</v>
      </c>
      <c r="G22" s="54" t="s">
        <v>105</v>
      </c>
    </row>
    <row r="23" customFormat="false" ht="18" hidden="false" customHeight="true" outlineLevel="0" collapsed="false">
      <c r="A23" s="49" t="s">
        <v>106</v>
      </c>
      <c r="B23" s="50" t="n">
        <v>174036</v>
      </c>
      <c r="C23" s="50" t="n">
        <v>72983</v>
      </c>
      <c r="D23" s="51" t="n">
        <f aca="false">B23+C23</f>
        <v>247019</v>
      </c>
      <c r="E23" s="52" t="n">
        <f aca="false">B23/D23</f>
        <v>0.704544994514592</v>
      </c>
      <c r="F23" s="52" t="n">
        <f aca="false">C23/D23</f>
        <v>0.295455005485408</v>
      </c>
      <c r="G23" s="53"/>
    </row>
    <row r="24" customFormat="false" ht="18" hidden="false" customHeight="true" outlineLevel="0" collapsed="false">
      <c r="A24" s="44" t="s">
        <v>107</v>
      </c>
      <c r="B24" s="45" t="n">
        <v>148912</v>
      </c>
      <c r="C24" s="45" t="n">
        <v>88097</v>
      </c>
      <c r="D24" s="46" t="n">
        <f aca="false">B24+C24</f>
        <v>237009</v>
      </c>
      <c r="E24" s="47" t="n">
        <f aca="false">B24/D24</f>
        <v>0.628296815732736</v>
      </c>
      <c r="F24" s="47" t="n">
        <f aca="false">C24/D24</f>
        <v>0.371703184267264</v>
      </c>
      <c r="G24" s="48"/>
    </row>
    <row r="25" customFormat="false" ht="18" hidden="false" customHeight="true" outlineLevel="0" collapsed="false">
      <c r="A25" s="49" t="s">
        <v>108</v>
      </c>
      <c r="B25" s="50" t="n">
        <v>174261</v>
      </c>
      <c r="C25" s="50" t="n">
        <v>112327</v>
      </c>
      <c r="D25" s="51" t="n">
        <f aca="false">B25+C25</f>
        <v>286588</v>
      </c>
      <c r="E25" s="52" t="n">
        <f aca="false">B25/D25</f>
        <v>0.608054070651946</v>
      </c>
      <c r="F25" s="52" t="n">
        <f aca="false">C25/D25</f>
        <v>0.391945929348054</v>
      </c>
      <c r="G25" s="53"/>
    </row>
    <row r="26" customFormat="false" ht="18" hidden="false" customHeight="true" outlineLevel="0" collapsed="false">
      <c r="A26" s="44" t="s">
        <v>109</v>
      </c>
      <c r="B26" s="45" t="n">
        <v>198445</v>
      </c>
      <c r="C26" s="45" t="n">
        <v>133327</v>
      </c>
      <c r="D26" s="46" t="n">
        <f aca="false">B26+C26</f>
        <v>331772</v>
      </c>
      <c r="E26" s="47" t="n">
        <f aca="false">B26/D26</f>
        <v>0.598136672172456</v>
      </c>
      <c r="F26" s="47" t="n">
        <f aca="false">C26/D26</f>
        <v>0.401863327827544</v>
      </c>
      <c r="G26" s="54" t="s">
        <v>110</v>
      </c>
    </row>
    <row r="27" customFormat="false" ht="18" hidden="false" customHeight="true" outlineLevel="0" collapsed="false">
      <c r="A27" s="49" t="s">
        <v>111</v>
      </c>
      <c r="B27" s="50" t="n">
        <v>194865</v>
      </c>
      <c r="C27" s="50" t="n">
        <v>137942</v>
      </c>
      <c r="D27" s="51" t="n">
        <f aca="false">B27+C27</f>
        <v>332807</v>
      </c>
      <c r="E27" s="52" t="n">
        <f aca="false">B27/D27</f>
        <v>0.585519535346312</v>
      </c>
      <c r="F27" s="52" t="n">
        <f aca="false">C27/D27</f>
        <v>0.414480464653688</v>
      </c>
      <c r="G27" s="55" t="s">
        <v>110</v>
      </c>
    </row>
    <row r="28" customFormat="false" ht="18" hidden="false" customHeight="true" outlineLevel="0" collapsed="false">
      <c r="A28" s="44" t="s">
        <v>112</v>
      </c>
      <c r="B28" s="45" t="n">
        <v>198474</v>
      </c>
      <c r="C28" s="45" t="n">
        <v>145428</v>
      </c>
      <c r="D28" s="46" t="n">
        <f aca="false">B28+C28</f>
        <v>343902</v>
      </c>
      <c r="E28" s="47" t="n">
        <f aca="false">B28/D28</f>
        <v>0.577123715477084</v>
      </c>
      <c r="F28" s="47" t="n">
        <f aca="false">C28/D28</f>
        <v>0.422876284522916</v>
      </c>
      <c r="G28" s="54" t="s">
        <v>110</v>
      </c>
    </row>
    <row r="29" customFormat="false" ht="18" hidden="false" customHeight="true" outlineLevel="0" collapsed="false">
      <c r="A29" s="49" t="s">
        <v>113</v>
      </c>
      <c r="B29" s="50" t="n">
        <v>250140</v>
      </c>
      <c r="C29" s="50" t="n">
        <v>161488</v>
      </c>
      <c r="D29" s="51" t="n">
        <f aca="false">B29+C29</f>
        <v>411628</v>
      </c>
      <c r="E29" s="52" t="n">
        <f aca="false">B29/D29</f>
        <v>0.607684608432857</v>
      </c>
      <c r="F29" s="52" t="n">
        <f aca="false">C29/D29</f>
        <v>0.392315391567143</v>
      </c>
      <c r="G29" s="55" t="s">
        <v>110</v>
      </c>
    </row>
    <row r="30" customFormat="false" ht="18" hidden="false" customHeight="true" outlineLevel="0" collapsed="false">
      <c r="A30" s="44" t="s">
        <v>114</v>
      </c>
      <c r="B30" s="45" t="n">
        <v>355307</v>
      </c>
      <c r="C30" s="45" t="n">
        <v>185315</v>
      </c>
      <c r="D30" s="46" t="n">
        <f aca="false">B30+C30</f>
        <v>540622</v>
      </c>
      <c r="E30" s="47" t="n">
        <f aca="false">B30/D30</f>
        <v>0.657218907110698</v>
      </c>
      <c r="F30" s="47" t="n">
        <f aca="false">C30/D30</f>
        <v>0.342781092889302</v>
      </c>
      <c r="G30" s="54" t="s">
        <v>110</v>
      </c>
    </row>
    <row r="31" customFormat="false" ht="18" hidden="false" customHeight="true" outlineLevel="0" collapsed="false">
      <c r="A31" s="49" t="s">
        <v>115</v>
      </c>
      <c r="B31" s="50" t="n">
        <v>404857</v>
      </c>
      <c r="C31" s="50" t="n">
        <v>200633</v>
      </c>
      <c r="D31" s="51" t="n">
        <f aca="false">B31+C31</f>
        <v>605490</v>
      </c>
      <c r="E31" s="52" t="n">
        <f aca="false">B31/D31</f>
        <v>0.66864357792862</v>
      </c>
      <c r="F31" s="52" t="n">
        <f aca="false">C31/D31</f>
        <v>0.33135642207138</v>
      </c>
      <c r="G31" s="55" t="s">
        <v>116</v>
      </c>
    </row>
    <row r="32" customFormat="false" ht="18" hidden="false" customHeight="true" outlineLevel="0" collapsed="false">
      <c r="A32" s="44" t="s">
        <v>117</v>
      </c>
      <c r="B32" s="45" t="n">
        <v>313230</v>
      </c>
      <c r="C32" s="45" t="n">
        <v>171681</v>
      </c>
      <c r="D32" s="46" t="n">
        <f aca="false">B32+C32</f>
        <v>484911</v>
      </c>
      <c r="E32" s="47" t="n">
        <f aca="false">B32/D32</f>
        <v>0.64595358735933</v>
      </c>
      <c r="F32" s="47" t="n">
        <f aca="false">C32/D32</f>
        <v>0.35404641264067</v>
      </c>
      <c r="G32" s="48"/>
    </row>
    <row r="33" customFormat="false" ht="18" hidden="false" customHeight="true" outlineLevel="0" collapsed="false">
      <c r="A33" s="49" t="s">
        <v>118</v>
      </c>
      <c r="B33" s="50" t="n">
        <v>217287</v>
      </c>
      <c r="C33" s="50" t="n">
        <v>129199</v>
      </c>
      <c r="D33" s="51" t="n">
        <f aca="false">B33+C33</f>
        <v>346486</v>
      </c>
      <c r="E33" s="52" t="n">
        <f aca="false">B33/D33</f>
        <v>0.627116247121096</v>
      </c>
      <c r="F33" s="52" t="n">
        <f aca="false">C33/D33</f>
        <v>0.372883752878904</v>
      </c>
      <c r="G33" s="53"/>
    </row>
    <row r="34" customFormat="false" ht="18" hidden="false" customHeight="true" outlineLevel="0" collapsed="false">
      <c r="A34" s="44" t="s">
        <v>119</v>
      </c>
      <c r="B34" s="45" t="n">
        <v>151787</v>
      </c>
      <c r="C34" s="45" t="n">
        <v>93759</v>
      </c>
      <c r="D34" s="46" t="n">
        <f aca="false">B34+C34</f>
        <v>245546</v>
      </c>
      <c r="E34" s="47" t="n">
        <f aca="false">B34/D34</f>
        <v>0.618161159212531</v>
      </c>
      <c r="F34" s="47" t="n">
        <f aca="false">C34/D34</f>
        <v>0.38183884078747</v>
      </c>
      <c r="G34" s="48"/>
    </row>
    <row r="35" customFormat="false" ht="18" hidden="false" customHeight="true" outlineLevel="0" collapsed="false">
      <c r="A35" s="49" t="s">
        <v>120</v>
      </c>
      <c r="B35" s="50" t="n">
        <v>117895</v>
      </c>
      <c r="C35" s="50" t="n">
        <v>79568</v>
      </c>
      <c r="D35" s="51" t="n">
        <f aca="false">B35+C35</f>
        <v>197463</v>
      </c>
      <c r="E35" s="52" t="n">
        <f aca="false">B35/D35</f>
        <v>0.597048560996237</v>
      </c>
      <c r="F35" s="52" t="n">
        <f aca="false">C35/D35</f>
        <v>0.402951439003763</v>
      </c>
      <c r="G35" s="53"/>
    </row>
    <row r="36" customFormat="false" ht="18" hidden="false" customHeight="true" outlineLevel="0" collapsed="false">
      <c r="A36" s="44" t="s">
        <v>121</v>
      </c>
      <c r="B36" s="45" t="n">
        <v>85131</v>
      </c>
      <c r="C36" s="45" t="n">
        <v>67246</v>
      </c>
      <c r="D36" s="46" t="n">
        <f aca="false">B36+C36</f>
        <v>152377</v>
      </c>
      <c r="E36" s="47" t="n">
        <f aca="false">B36/D36</f>
        <v>0.558686678435722</v>
      </c>
      <c r="F36" s="47" t="n">
        <f aca="false">C36/D36</f>
        <v>0.441313321564278</v>
      </c>
      <c r="G36" s="48"/>
    </row>
    <row r="37" customFormat="false" ht="18" hidden="false" customHeight="true" outlineLevel="0" collapsed="false">
      <c r="A37" s="49" t="s">
        <v>122</v>
      </c>
      <c r="B37" s="50" t="n">
        <v>52804</v>
      </c>
      <c r="C37" s="50" t="n">
        <v>47790</v>
      </c>
      <c r="D37" s="51" t="n">
        <f aca="false">B37+C37</f>
        <v>100594</v>
      </c>
      <c r="E37" s="52" t="n">
        <f aca="false">B37/D37</f>
        <v>0.524921963536593</v>
      </c>
      <c r="F37" s="52" t="n">
        <f aca="false">C37/D37</f>
        <v>0.475078036463407</v>
      </c>
      <c r="G37" s="53"/>
    </row>
  </sheetData>
  <mergeCells count="3">
    <mergeCell ref="A1:H1"/>
    <mergeCell ref="A3:H3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6"/>
    <col collapsed="false" customWidth="true" hidden="false" outlineLevel="0" max="7" min="7" style="0" width="35"/>
    <col collapsed="false" customWidth="true" hidden="false" outlineLevel="0" max="8" min="8" style="0" width="13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7" t="s">
        <v>123</v>
      </c>
      <c r="B1" s="17"/>
      <c r="C1" s="17"/>
      <c r="D1" s="17"/>
      <c r="E1" s="17"/>
      <c r="F1" s="17"/>
      <c r="G1" s="17"/>
      <c r="H1" s="17"/>
    </row>
    <row r="2" customFormat="false" ht="7.5" hidden="false" customHeight="true" outlineLevel="0" collapsed="false"/>
    <row r="3" customFormat="false" ht="21.75" hidden="false" customHeight="true" outlineLevel="0" collapsed="false">
      <c r="A3" s="38" t="s">
        <v>124</v>
      </c>
      <c r="B3" s="38"/>
      <c r="C3" s="38"/>
      <c r="D3" s="38"/>
    </row>
    <row r="4" customFormat="false" ht="24" hidden="false" customHeight="true" outlineLevel="0" collapsed="false">
      <c r="A4" s="39" t="s">
        <v>125</v>
      </c>
      <c r="B4" s="39" t="s">
        <v>47</v>
      </c>
      <c r="C4" s="39" t="s">
        <v>48</v>
      </c>
      <c r="D4" s="39" t="s">
        <v>49</v>
      </c>
    </row>
    <row r="5" customFormat="false" ht="21.75" hidden="false" customHeight="true" outlineLevel="0" collapsed="false">
      <c r="A5" s="35" t="s">
        <v>126</v>
      </c>
      <c r="B5" s="21" t="n">
        <v>1283135</v>
      </c>
      <c r="C5" s="21" t="n">
        <v>657201</v>
      </c>
      <c r="D5" s="22" t="n">
        <f aca="false">B5+C5</f>
        <v>1940336</v>
      </c>
    </row>
    <row r="6" customFormat="false" ht="21.75" hidden="false" customHeight="true" outlineLevel="0" collapsed="false">
      <c r="A6" s="37" t="s">
        <v>127</v>
      </c>
      <c r="B6" s="26" t="n">
        <v>2464249</v>
      </c>
      <c r="C6" s="26" t="n">
        <v>1438246</v>
      </c>
      <c r="D6" s="27" t="n">
        <f aca="false">B6+C6</f>
        <v>3902495</v>
      </c>
    </row>
    <row r="7" customFormat="false" ht="21.75" hidden="false" customHeight="true" outlineLevel="0" collapsed="false">
      <c r="A7" s="31" t="s">
        <v>128</v>
      </c>
      <c r="B7" s="32" t="n">
        <f aca="false">SUM(B5:B6)</f>
        <v>3747384</v>
      </c>
      <c r="C7" s="32" t="n">
        <f aca="false">SUM(C5:C6)</f>
        <v>2095447</v>
      </c>
      <c r="D7" s="32" t="n">
        <f aca="false">SUM(D5:D6)</f>
        <v>5842831</v>
      </c>
    </row>
    <row r="9" customFormat="false" ht="9.75" hidden="false" customHeight="true" outlineLevel="0" collapsed="false"/>
    <row r="10" customFormat="false" ht="21.75" hidden="false" customHeight="true" outlineLevel="0" collapsed="false">
      <c r="A10" s="56" t="s">
        <v>129</v>
      </c>
      <c r="B10" s="56"/>
      <c r="C10" s="56"/>
      <c r="D10" s="56"/>
      <c r="F10" s="57" t="s">
        <v>130</v>
      </c>
      <c r="G10" s="57"/>
      <c r="H10" s="57"/>
      <c r="I10" s="57"/>
    </row>
    <row r="11" customFormat="false" ht="21.75" hidden="false" customHeight="true" outlineLevel="0" collapsed="false">
      <c r="A11" s="39" t="s">
        <v>131</v>
      </c>
      <c r="B11" s="39" t="s">
        <v>132</v>
      </c>
      <c r="C11" s="39" t="s">
        <v>133</v>
      </c>
      <c r="D11" s="39" t="s">
        <v>134</v>
      </c>
      <c r="F11" s="39" t="s">
        <v>131</v>
      </c>
      <c r="G11" s="39" t="s">
        <v>132</v>
      </c>
      <c r="H11" s="39" t="s">
        <v>133</v>
      </c>
      <c r="I11" s="39" t="s">
        <v>135</v>
      </c>
    </row>
    <row r="12" customFormat="false" ht="19.5" hidden="false" customHeight="true" outlineLevel="0" collapsed="false">
      <c r="A12" s="58" t="n">
        <v>1</v>
      </c>
      <c r="B12" s="59" t="s">
        <v>136</v>
      </c>
      <c r="C12" s="21" t="n">
        <v>38837</v>
      </c>
      <c r="D12" s="60" t="n">
        <f aca="false">C12/2095447</f>
        <v>0.0185339929857448</v>
      </c>
      <c r="F12" s="58" t="n">
        <v>1</v>
      </c>
      <c r="G12" s="59" t="s">
        <v>137</v>
      </c>
      <c r="H12" s="21" t="n">
        <v>22514</v>
      </c>
      <c r="I12" s="60" t="n">
        <f aca="false">H12/3747384</f>
        <v>0.00600792446143763</v>
      </c>
    </row>
    <row r="13" customFormat="false" ht="19.5" hidden="false" customHeight="true" outlineLevel="0" collapsed="false">
      <c r="A13" s="61" t="n">
        <v>2</v>
      </c>
      <c r="B13" s="62" t="s">
        <v>138</v>
      </c>
      <c r="C13" s="26" t="n">
        <v>32793</v>
      </c>
      <c r="D13" s="63" t="n">
        <f aca="false">C13/2095447</f>
        <v>0.0156496442047926</v>
      </c>
      <c r="F13" s="61" t="n">
        <v>2</v>
      </c>
      <c r="G13" s="62" t="s">
        <v>139</v>
      </c>
      <c r="H13" s="26" t="n">
        <v>20861</v>
      </c>
      <c r="I13" s="63" t="n">
        <f aca="false">H13/3747384</f>
        <v>0.00556681674469443</v>
      </c>
    </row>
    <row r="14" customFormat="false" ht="19.5" hidden="false" customHeight="true" outlineLevel="0" collapsed="false">
      <c r="A14" s="58" t="n">
        <v>3</v>
      </c>
      <c r="B14" s="59" t="s">
        <v>140</v>
      </c>
      <c r="C14" s="21" t="n">
        <v>23181</v>
      </c>
      <c r="D14" s="60" t="n">
        <f aca="false">C14/2095447</f>
        <v>0.0110625561037812</v>
      </c>
      <c r="F14" s="58" t="n">
        <v>3</v>
      </c>
      <c r="G14" s="59" t="s">
        <v>141</v>
      </c>
      <c r="H14" s="21" t="n">
        <v>20619</v>
      </c>
      <c r="I14" s="60" t="n">
        <f aca="false">H14/3747384</f>
        <v>0.00550223836148097</v>
      </c>
    </row>
    <row r="15" customFormat="false" ht="19.5" hidden="false" customHeight="true" outlineLevel="0" collapsed="false">
      <c r="A15" s="61" t="n">
        <v>4</v>
      </c>
      <c r="B15" s="62" t="s">
        <v>142</v>
      </c>
      <c r="C15" s="26" t="n">
        <v>20246</v>
      </c>
      <c r="D15" s="63" t="n">
        <f aca="false">C15/2095447</f>
        <v>0.0096619003009859</v>
      </c>
      <c r="F15" s="61" t="n">
        <v>4</v>
      </c>
      <c r="G15" s="62" t="s">
        <v>143</v>
      </c>
      <c r="H15" s="26" t="n">
        <v>20437</v>
      </c>
      <c r="I15" s="63" t="n">
        <f aca="false">H15/3747384</f>
        <v>0.00545367114765927</v>
      </c>
    </row>
    <row r="16" customFormat="false" ht="19.5" hidden="false" customHeight="true" outlineLevel="0" collapsed="false">
      <c r="A16" s="58" t="n">
        <v>5</v>
      </c>
      <c r="B16" s="59" t="s">
        <v>144</v>
      </c>
      <c r="C16" s="21" t="n">
        <v>19036</v>
      </c>
      <c r="D16" s="60" t="n">
        <f aca="false">C16/2095447</f>
        <v>0.00908445787462055</v>
      </c>
      <c r="F16" s="58" t="n">
        <v>5</v>
      </c>
      <c r="G16" s="59" t="s">
        <v>145</v>
      </c>
      <c r="H16" s="21" t="n">
        <v>20363</v>
      </c>
      <c r="I16" s="60" t="n">
        <f aca="false">H16/3747384</f>
        <v>0.00543392403874276</v>
      </c>
    </row>
    <row r="17" customFormat="false" ht="19.5" hidden="false" customHeight="true" outlineLevel="0" collapsed="false">
      <c r="A17" s="61" t="n">
        <v>6</v>
      </c>
      <c r="B17" s="62" t="s">
        <v>146</v>
      </c>
      <c r="C17" s="26" t="n">
        <v>17148</v>
      </c>
      <c r="D17" s="63" t="n">
        <f aca="false">C17/2095447</f>
        <v>0.00818345679943229</v>
      </c>
      <c r="F17" s="61" t="n">
        <v>6</v>
      </c>
      <c r="G17" s="62" t="s">
        <v>147</v>
      </c>
      <c r="H17" s="26" t="n">
        <v>19452</v>
      </c>
      <c r="I17" s="63" t="n">
        <f aca="false">H17/3747384</f>
        <v>0.00519082111681109</v>
      </c>
    </row>
    <row r="18" customFormat="false" ht="19.5" hidden="false" customHeight="true" outlineLevel="0" collapsed="false">
      <c r="A18" s="58" t="n">
        <v>7</v>
      </c>
      <c r="B18" s="59" t="s">
        <v>148</v>
      </c>
      <c r="C18" s="21" t="n">
        <v>16469</v>
      </c>
      <c r="D18" s="60" t="n">
        <f aca="false">C18/2095447</f>
        <v>0.00785942092546364</v>
      </c>
      <c r="F18" s="58" t="n">
        <v>7</v>
      </c>
      <c r="G18" s="59" t="s">
        <v>149</v>
      </c>
      <c r="H18" s="21" t="n">
        <v>19198</v>
      </c>
      <c r="I18" s="60" t="n">
        <f aca="false">H18/3747384</f>
        <v>0.00512304049971927</v>
      </c>
    </row>
    <row r="19" customFormat="false" ht="19.5" hidden="false" customHeight="true" outlineLevel="0" collapsed="false">
      <c r="A19" s="61" t="n">
        <v>8</v>
      </c>
      <c r="B19" s="62" t="s">
        <v>150</v>
      </c>
      <c r="C19" s="26" t="n">
        <v>15503</v>
      </c>
      <c r="D19" s="63" t="n">
        <f aca="false">C19/2095447</f>
        <v>0.00739842143466287</v>
      </c>
      <c r="F19" s="61" t="n">
        <v>8</v>
      </c>
      <c r="G19" s="62" t="s">
        <v>151</v>
      </c>
      <c r="H19" s="26" t="n">
        <v>18934</v>
      </c>
      <c r="I19" s="63" t="n">
        <f aca="false">H19/3747384</f>
        <v>0.00505259135439549</v>
      </c>
    </row>
    <row r="20" customFormat="false" ht="19.5" hidden="false" customHeight="true" outlineLevel="0" collapsed="false">
      <c r="A20" s="58" t="n">
        <v>9</v>
      </c>
      <c r="B20" s="59" t="s">
        <v>152</v>
      </c>
      <c r="C20" s="21" t="n">
        <v>15175</v>
      </c>
      <c r="D20" s="60" t="n">
        <f aca="false">C20/2095447</f>
        <v>0.00724189158685474</v>
      </c>
      <c r="F20" s="58" t="n">
        <v>9</v>
      </c>
      <c r="G20" s="59" t="s">
        <v>153</v>
      </c>
      <c r="H20" s="21" t="n">
        <v>18814</v>
      </c>
      <c r="I20" s="60" t="n">
        <f aca="false">H20/3747384</f>
        <v>0.00502056901561196</v>
      </c>
    </row>
    <row r="21" customFormat="false" ht="19.5" hidden="false" customHeight="true" outlineLevel="0" collapsed="false">
      <c r="A21" s="61" t="n">
        <v>10</v>
      </c>
      <c r="B21" s="62" t="s">
        <v>154</v>
      </c>
      <c r="C21" s="26" t="n">
        <v>11192</v>
      </c>
      <c r="D21" s="63" t="n">
        <f aca="false">C21/2095447</f>
        <v>0.00534110383130664</v>
      </c>
      <c r="F21" s="61" t="n">
        <v>10</v>
      </c>
      <c r="G21" s="62" t="s">
        <v>155</v>
      </c>
      <c r="H21" s="26" t="n">
        <v>18389</v>
      </c>
      <c r="I21" s="63" t="n">
        <f aca="false">H21/3747384</f>
        <v>0.0049071565657536</v>
      </c>
    </row>
  </sheetData>
  <mergeCells count="4">
    <mergeCell ref="A1:H1"/>
    <mergeCell ref="A3:D3"/>
    <mergeCell ref="A10:D10"/>
    <mergeCell ref="F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55"/>
  </cols>
  <sheetData>
    <row r="1" customFormat="false" ht="30" hidden="false" customHeight="true" outlineLevel="0" collapsed="false">
      <c r="A1" s="17" t="s">
        <v>156</v>
      </c>
      <c r="B1" s="17"/>
      <c r="C1" s="17"/>
      <c r="D1" s="17"/>
      <c r="E1" s="17"/>
      <c r="F1" s="17"/>
      <c r="G1" s="17"/>
    </row>
    <row r="2" customFormat="false" ht="7.5" hidden="false" customHeight="true" outlineLevel="0" collapsed="false"/>
    <row r="3" customFormat="false" ht="27.75" hidden="false" customHeight="true" outlineLevel="0" collapsed="false">
      <c r="A3" s="19" t="s">
        <v>157</v>
      </c>
      <c r="B3" s="19" t="s">
        <v>158</v>
      </c>
      <c r="C3" s="19" t="s">
        <v>159</v>
      </c>
      <c r="D3" s="19" t="s">
        <v>160</v>
      </c>
      <c r="E3" s="19" t="s">
        <v>161</v>
      </c>
      <c r="F3" s="19" t="s">
        <v>162</v>
      </c>
      <c r="G3" s="19" t="s">
        <v>163</v>
      </c>
    </row>
    <row r="4" customFormat="false" ht="36" hidden="false" customHeight="true" outlineLevel="0" collapsed="false">
      <c r="A4" s="19" t="n">
        <v>1</v>
      </c>
      <c r="B4" s="64" t="s">
        <v>164</v>
      </c>
      <c r="C4" s="64" t="s">
        <v>165</v>
      </c>
      <c r="D4" s="64" t="s">
        <v>166</v>
      </c>
      <c r="E4" s="65" t="n">
        <v>0</v>
      </c>
      <c r="F4" s="64" t="s">
        <v>167</v>
      </c>
      <c r="G4" s="64" t="s">
        <v>168</v>
      </c>
    </row>
    <row r="5" customFormat="false" ht="36" hidden="false" customHeight="true" outlineLevel="0" collapsed="false">
      <c r="A5" s="19" t="n">
        <v>2</v>
      </c>
      <c r="B5" s="66" t="s">
        <v>169</v>
      </c>
      <c r="C5" s="66" t="s">
        <v>166</v>
      </c>
      <c r="D5" s="66" t="s">
        <v>166</v>
      </c>
      <c r="E5" s="67" t="n">
        <v>0</v>
      </c>
      <c r="F5" s="66" t="s">
        <v>167</v>
      </c>
      <c r="G5" s="66" t="s">
        <v>170</v>
      </c>
    </row>
    <row r="6" customFormat="false" ht="36" hidden="false" customHeight="true" outlineLevel="0" collapsed="false">
      <c r="A6" s="19" t="n">
        <v>3</v>
      </c>
      <c r="B6" s="64" t="s">
        <v>171</v>
      </c>
      <c r="C6" s="64" t="s">
        <v>166</v>
      </c>
      <c r="D6" s="64" t="s">
        <v>172</v>
      </c>
      <c r="E6" s="65" t="s">
        <v>173</v>
      </c>
      <c r="F6" s="64" t="s">
        <v>167</v>
      </c>
      <c r="G6" s="64" t="s">
        <v>174</v>
      </c>
    </row>
    <row r="7" customFormat="false" ht="36" hidden="false" customHeight="true" outlineLevel="0" collapsed="false">
      <c r="A7" s="19" t="n">
        <v>4</v>
      </c>
      <c r="B7" s="66" t="s">
        <v>175</v>
      </c>
      <c r="C7" s="66" t="s">
        <v>172</v>
      </c>
      <c r="D7" s="66" t="s">
        <v>8</v>
      </c>
      <c r="E7" s="67" t="s">
        <v>176</v>
      </c>
      <c r="F7" s="66" t="s">
        <v>167</v>
      </c>
      <c r="G7" s="66" t="s">
        <v>177</v>
      </c>
    </row>
    <row r="8" customFormat="false" ht="36" hidden="false" customHeight="true" outlineLevel="0" collapsed="false">
      <c r="A8" s="19" t="n">
        <v>5</v>
      </c>
      <c r="B8" s="64" t="s">
        <v>178</v>
      </c>
      <c r="C8" s="64" t="s">
        <v>8</v>
      </c>
      <c r="D8" s="64" t="s">
        <v>8</v>
      </c>
      <c r="E8" s="65" t="n">
        <v>0</v>
      </c>
      <c r="F8" s="64" t="s">
        <v>167</v>
      </c>
      <c r="G8" s="64" t="s">
        <v>179</v>
      </c>
    </row>
    <row r="9" customFormat="false" ht="36" hidden="false" customHeight="true" outlineLevel="0" collapsed="false">
      <c r="A9" s="19" t="n">
        <v>6</v>
      </c>
      <c r="B9" s="66" t="s">
        <v>180</v>
      </c>
      <c r="C9" s="66" t="s">
        <v>8</v>
      </c>
      <c r="D9" s="66" t="s">
        <v>8</v>
      </c>
      <c r="E9" s="67" t="n">
        <v>0</v>
      </c>
      <c r="F9" s="66" t="s">
        <v>167</v>
      </c>
      <c r="G9" s="66" t="s">
        <v>181</v>
      </c>
    </row>
    <row r="10" customFormat="false" ht="36" hidden="false" customHeight="true" outlineLevel="0" collapsed="false">
      <c r="A10" s="19" t="n">
        <v>7</v>
      </c>
      <c r="B10" s="64" t="s">
        <v>182</v>
      </c>
      <c r="C10" s="64" t="s">
        <v>8</v>
      </c>
      <c r="D10" s="64" t="s">
        <v>8</v>
      </c>
      <c r="E10" s="65" t="n">
        <v>0</v>
      </c>
      <c r="F10" s="64" t="s">
        <v>167</v>
      </c>
      <c r="G10" s="64" t="s">
        <v>183</v>
      </c>
    </row>
    <row r="11" customFormat="false" ht="36" hidden="false" customHeight="true" outlineLevel="0" collapsed="false">
      <c r="A11" s="19" t="n">
        <v>8</v>
      </c>
      <c r="B11" s="66" t="s">
        <v>184</v>
      </c>
      <c r="C11" s="66" t="s">
        <v>8</v>
      </c>
      <c r="D11" s="66" t="s">
        <v>8</v>
      </c>
      <c r="E11" s="67" t="n">
        <v>0</v>
      </c>
      <c r="F11" s="66" t="s">
        <v>185</v>
      </c>
      <c r="G11" s="66" t="s">
        <v>186</v>
      </c>
    </row>
    <row r="12" customFormat="false" ht="36" hidden="false" customHeight="true" outlineLevel="0" collapsed="false">
      <c r="A12" s="19" t="n">
        <v>9</v>
      </c>
      <c r="B12" s="64" t="s">
        <v>187</v>
      </c>
      <c r="C12" s="64" t="s">
        <v>188</v>
      </c>
      <c r="D12" s="64" t="s">
        <v>189</v>
      </c>
      <c r="E12" s="65" t="s">
        <v>190</v>
      </c>
      <c r="F12" s="64" t="s">
        <v>185</v>
      </c>
      <c r="G12" s="64" t="s">
        <v>191</v>
      </c>
    </row>
    <row r="13" customFormat="false" ht="36" hidden="false" customHeight="true" outlineLevel="0" collapsed="false">
      <c r="A13" s="19" t="n">
        <v>10</v>
      </c>
      <c r="B13" s="66" t="s">
        <v>192</v>
      </c>
      <c r="C13" s="66" t="s">
        <v>8</v>
      </c>
      <c r="D13" s="66" t="s">
        <v>8</v>
      </c>
      <c r="E13" s="67" t="n">
        <v>0</v>
      </c>
      <c r="F13" s="66" t="s">
        <v>167</v>
      </c>
      <c r="G13" s="66" t="s">
        <v>193</v>
      </c>
    </row>
    <row r="14" customFormat="false" ht="36" hidden="false" customHeight="true" outlineLevel="0" collapsed="false">
      <c r="A14" s="19" t="n">
        <v>11</v>
      </c>
      <c r="B14" s="64" t="s">
        <v>194</v>
      </c>
      <c r="C14" s="64" t="s">
        <v>8</v>
      </c>
      <c r="D14" s="64" t="s">
        <v>8</v>
      </c>
      <c r="E14" s="65" t="n">
        <v>0</v>
      </c>
      <c r="F14" s="64" t="s">
        <v>167</v>
      </c>
      <c r="G14" s="64" t="s">
        <v>195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7" t="s">
        <v>196</v>
      </c>
      <c r="B1" s="17"/>
      <c r="C1" s="17"/>
      <c r="D1" s="17"/>
      <c r="E1" s="17"/>
      <c r="F1" s="17"/>
    </row>
    <row r="2" customFormat="false" ht="7.5" hidden="false" customHeight="true" outlineLevel="0" collapsed="false"/>
    <row r="3" customFormat="false" ht="24" hidden="false" customHeight="true" outlineLevel="0" collapsed="false">
      <c r="A3" s="39" t="s">
        <v>197</v>
      </c>
      <c r="B3" s="39" t="s">
        <v>198</v>
      </c>
      <c r="C3" s="39" t="s">
        <v>199</v>
      </c>
      <c r="D3" s="39" t="s">
        <v>200</v>
      </c>
      <c r="E3" s="39" t="s">
        <v>201</v>
      </c>
      <c r="F3" s="39" t="s">
        <v>202</v>
      </c>
    </row>
    <row r="4" customFormat="false" ht="27.75" hidden="false" customHeight="true" outlineLevel="0" collapsed="false">
      <c r="A4" s="68" t="s">
        <v>203</v>
      </c>
      <c r="B4" s="64" t="s">
        <v>204</v>
      </c>
      <c r="C4" s="69" t="s">
        <v>205</v>
      </c>
      <c r="D4" s="64" t="s">
        <v>206</v>
      </c>
      <c r="E4" s="64" t="s">
        <v>207</v>
      </c>
      <c r="F4" s="64" t="s">
        <v>208</v>
      </c>
    </row>
    <row r="5" customFormat="false" ht="27.75" hidden="false" customHeight="true" outlineLevel="0" collapsed="false">
      <c r="A5" s="68" t="s">
        <v>209</v>
      </c>
      <c r="B5" s="66" t="s">
        <v>204</v>
      </c>
      <c r="C5" s="70" t="s">
        <v>205</v>
      </c>
      <c r="D5" s="66" t="s">
        <v>210</v>
      </c>
      <c r="E5" s="66" t="s">
        <v>211</v>
      </c>
      <c r="F5" s="66" t="s">
        <v>212</v>
      </c>
    </row>
    <row r="6" customFormat="false" ht="27.75" hidden="false" customHeight="true" outlineLevel="0" collapsed="false">
      <c r="A6" s="68" t="s">
        <v>213</v>
      </c>
      <c r="B6" s="64" t="s">
        <v>214</v>
      </c>
      <c r="C6" s="69" t="s">
        <v>205</v>
      </c>
      <c r="D6" s="64" t="s">
        <v>215</v>
      </c>
      <c r="E6" s="64" t="s">
        <v>216</v>
      </c>
      <c r="F6" s="64" t="s">
        <v>217</v>
      </c>
    </row>
    <row r="7" customFormat="false" ht="27.75" hidden="false" customHeight="true" outlineLevel="0" collapsed="false">
      <c r="A7" s="68" t="s">
        <v>218</v>
      </c>
      <c r="B7" s="66" t="s">
        <v>214</v>
      </c>
      <c r="C7" s="70" t="s">
        <v>205</v>
      </c>
      <c r="D7" s="66" t="s">
        <v>219</v>
      </c>
      <c r="E7" s="66" t="s">
        <v>220</v>
      </c>
      <c r="F7" s="66" t="s">
        <v>217</v>
      </c>
    </row>
    <row r="8" customFormat="false" ht="27.75" hidden="false" customHeight="true" outlineLevel="0" collapsed="false">
      <c r="A8" s="68" t="s">
        <v>221</v>
      </c>
      <c r="B8" s="64" t="s">
        <v>204</v>
      </c>
      <c r="C8" s="69" t="s">
        <v>205</v>
      </c>
      <c r="D8" s="64" t="s">
        <v>222</v>
      </c>
      <c r="E8" s="64" t="s">
        <v>223</v>
      </c>
      <c r="F8" s="64" t="s">
        <v>224</v>
      </c>
    </row>
    <row r="9" customFormat="false" ht="27.75" hidden="false" customHeight="true" outlineLevel="0" collapsed="false">
      <c r="A9" s="68" t="s">
        <v>225</v>
      </c>
      <c r="B9" s="66" t="s">
        <v>204</v>
      </c>
      <c r="C9" s="70" t="s">
        <v>205</v>
      </c>
      <c r="D9" s="66" t="s">
        <v>226</v>
      </c>
      <c r="E9" s="66" t="s">
        <v>227</v>
      </c>
      <c r="F9" s="66" t="s">
        <v>228</v>
      </c>
    </row>
    <row r="10" customFormat="false" ht="27.75" hidden="false" customHeight="true" outlineLevel="0" collapsed="false">
      <c r="A10" s="68" t="s">
        <v>229</v>
      </c>
      <c r="B10" s="64" t="s">
        <v>204</v>
      </c>
      <c r="C10" s="69" t="s">
        <v>205</v>
      </c>
      <c r="D10" s="64" t="s">
        <v>230</v>
      </c>
      <c r="E10" s="64" t="s">
        <v>231</v>
      </c>
      <c r="F10" s="64" t="s">
        <v>232</v>
      </c>
    </row>
    <row r="11" customFormat="false" ht="27.75" hidden="false" customHeight="true" outlineLevel="0" collapsed="false">
      <c r="A11" s="68" t="s">
        <v>233</v>
      </c>
      <c r="B11" s="66" t="s">
        <v>204</v>
      </c>
      <c r="C11" s="70" t="s">
        <v>205</v>
      </c>
      <c r="D11" s="66" t="s">
        <v>234</v>
      </c>
      <c r="E11" s="66" t="s">
        <v>235</v>
      </c>
      <c r="F11" s="66" t="s">
        <v>236</v>
      </c>
    </row>
    <row r="12" customFormat="false" ht="27.75" hidden="false" customHeight="true" outlineLevel="0" collapsed="false">
      <c r="A12" s="68" t="s">
        <v>237</v>
      </c>
      <c r="B12" s="64" t="s">
        <v>238</v>
      </c>
      <c r="C12" s="69" t="s">
        <v>205</v>
      </c>
      <c r="D12" s="64" t="s">
        <v>239</v>
      </c>
      <c r="E12" s="64" t="s">
        <v>240</v>
      </c>
      <c r="F12" s="64" t="s">
        <v>241</v>
      </c>
    </row>
    <row r="13" customFormat="false" ht="27.75" hidden="false" customHeight="true" outlineLevel="0" collapsed="false">
      <c r="A13" s="68" t="s">
        <v>242</v>
      </c>
      <c r="B13" s="66" t="s">
        <v>238</v>
      </c>
      <c r="C13" s="70" t="s">
        <v>205</v>
      </c>
      <c r="D13" s="66" t="s">
        <v>243</v>
      </c>
      <c r="E13" s="66" t="s">
        <v>244</v>
      </c>
      <c r="F13" s="66" t="s">
        <v>241</v>
      </c>
    </row>
    <row r="14" customFormat="false" ht="27.75" hidden="false" customHeight="true" outlineLevel="0" collapsed="false">
      <c r="A14" s="68" t="s">
        <v>245</v>
      </c>
      <c r="B14" s="64" t="s">
        <v>238</v>
      </c>
      <c r="C14" s="69" t="s">
        <v>205</v>
      </c>
      <c r="D14" s="64" t="s">
        <v>246</v>
      </c>
      <c r="E14" s="64" t="s">
        <v>247</v>
      </c>
      <c r="F14" s="64" t="s">
        <v>248</v>
      </c>
    </row>
    <row r="15" customFormat="false" ht="27.75" hidden="false" customHeight="true" outlineLevel="0" collapsed="false">
      <c r="A15" s="68" t="s">
        <v>249</v>
      </c>
      <c r="B15" s="66" t="s">
        <v>238</v>
      </c>
      <c r="C15" s="70" t="s">
        <v>205</v>
      </c>
      <c r="D15" s="66" t="s">
        <v>250</v>
      </c>
      <c r="E15" s="66" t="s">
        <v>251</v>
      </c>
      <c r="F15" s="66" t="s">
        <v>252</v>
      </c>
    </row>
    <row r="16" customFormat="false" ht="27.75" hidden="false" customHeight="true" outlineLevel="0" collapsed="false">
      <c r="A16" s="68" t="s">
        <v>253</v>
      </c>
      <c r="B16" s="64" t="s">
        <v>204</v>
      </c>
      <c r="C16" s="69" t="s">
        <v>205</v>
      </c>
      <c r="D16" s="64" t="s">
        <v>254</v>
      </c>
      <c r="E16" s="64" t="s">
        <v>255</v>
      </c>
      <c r="F16" s="64" t="s">
        <v>256</v>
      </c>
    </row>
    <row r="17" customFormat="false" ht="27.75" hidden="false" customHeight="true" outlineLevel="0" collapsed="false">
      <c r="A17" s="68" t="s">
        <v>257</v>
      </c>
      <c r="B17" s="66" t="s">
        <v>238</v>
      </c>
      <c r="C17" s="71" t="s">
        <v>258</v>
      </c>
      <c r="D17" s="66" t="s">
        <v>259</v>
      </c>
      <c r="E17" s="66" t="s">
        <v>260</v>
      </c>
      <c r="F17" s="66" t="s">
        <v>261</v>
      </c>
    </row>
    <row r="18" customFormat="false" ht="27.75" hidden="false" customHeight="true" outlineLevel="0" collapsed="false">
      <c r="A18" s="68" t="s">
        <v>262</v>
      </c>
      <c r="B18" s="64" t="s">
        <v>204</v>
      </c>
      <c r="C18" s="72" t="s">
        <v>258</v>
      </c>
      <c r="D18" s="64" t="s">
        <v>263</v>
      </c>
      <c r="E18" s="64" t="s">
        <v>55</v>
      </c>
      <c r="F18" s="64" t="s">
        <v>264</v>
      </c>
    </row>
    <row r="19" customFormat="false" ht="27.75" hidden="false" customHeight="true" outlineLevel="0" collapsed="false">
      <c r="A19" s="68" t="s">
        <v>265</v>
      </c>
      <c r="B19" s="66" t="s">
        <v>266</v>
      </c>
      <c r="C19" s="71" t="s">
        <v>258</v>
      </c>
      <c r="D19" s="66" t="s">
        <v>267</v>
      </c>
      <c r="E19" s="66" t="s">
        <v>268</v>
      </c>
      <c r="F19" s="66" t="s">
        <v>269</v>
      </c>
    </row>
    <row r="20" customFormat="false" ht="27.75" hidden="false" customHeight="true" outlineLevel="0" collapsed="false">
      <c r="A20" s="68" t="s">
        <v>270</v>
      </c>
      <c r="B20" s="64" t="s">
        <v>271</v>
      </c>
      <c r="C20" s="72" t="s">
        <v>258</v>
      </c>
      <c r="D20" s="64" t="s">
        <v>272</v>
      </c>
      <c r="E20" s="64" t="s">
        <v>273</v>
      </c>
      <c r="F20" s="64" t="s">
        <v>274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2026-06-25T08:39:00Z</dcterms:created>
  <dc:creator>openpyxl</dc:creator>
  <dc:description/>
  <dc:language>en-US</dc:language>
  <cp:lastModifiedBy/>
  <dcterms:modified xsi:type="dcterms:W3CDTF">2026-06-25T08:39:11Z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